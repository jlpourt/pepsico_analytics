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pepsico-my.sharepoint.com/personal/rahul_dalmia_contractor_pepsico_com/Documents/Agro Common Data Template + AI Data Loader/"/>
    </mc:Choice>
  </mc:AlternateContent>
  <xr:revisionPtr revIDLastSave="6" documentId="8_{FFB41608-0054-444F-A573-84A833EC0544}" xr6:coauthVersionLast="47" xr6:coauthVersionMax="47" xr10:uidLastSave="{C2CBE290-226E-4AA5-9AF9-4A01160174D0}"/>
  <bookViews>
    <workbookView xWindow="-110" yWindow="-110" windowWidth="19420" windowHeight="10300" firstSheet="1" activeTab="1" xr2:uid="{420E57FE-FC64-478E-BD78-7554168C84E6}"/>
  </bookViews>
  <sheets>
    <sheet name="Definitions Legend" sheetId="2" r:id="rId1"/>
    <sheet name="PoC Filtered List" sheetId="1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53" i="1" l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1" i="1" s="1"/>
  <c r="Q5" i="1"/>
  <c r="Q4" i="1"/>
  <c r="Q3" i="1"/>
  <c r="U1" i="1"/>
  <c r="T1" i="1"/>
  <c r="S1" i="1"/>
  <c r="R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</calcChain>
</file>

<file path=xl/sharedStrings.xml><?xml version="1.0" encoding="utf-8"?>
<sst xmlns="http://schemas.openxmlformats.org/spreadsheetml/2006/main" count="984" uniqueCount="325">
  <si>
    <t>Header</t>
  </si>
  <si>
    <t>Description</t>
  </si>
  <si>
    <t>Data point groups</t>
  </si>
  <si>
    <t>The major clusters under which all the data points are sub-classified into</t>
  </si>
  <si>
    <t>Data points</t>
  </si>
  <si>
    <t>The list of all parameters for which data needs to be collected</t>
  </si>
  <si>
    <t>Parameter Description</t>
  </si>
  <si>
    <t>Description of the individual data points</t>
  </si>
  <si>
    <t>Custodian</t>
  </si>
  <si>
    <t>Entity responsible for the data - whoever reports the data is the custodian</t>
  </si>
  <si>
    <t>Dig-site</t>
  </si>
  <si>
    <t>Sub-process of the Farm-to-fork flow under which the data point is captured</t>
  </si>
  <si>
    <t>Baseline Mandatory / Baseline Non-Mandatory / Enhanced</t>
  </si>
  <si>
    <t>Classifying the data point as either Baseline or Enhanced; If baseline - sub-classify as Mandatory or Non-Mandatory</t>
  </si>
  <si>
    <t>Baseline / Enhanced?</t>
  </si>
  <si>
    <t>Classifying the data point as baseline (must have) and enhanced (good to have)</t>
  </si>
  <si>
    <t>Input Format</t>
  </si>
  <si>
    <t>The format in which the input needs to be provided e.g. Year format, time format etc.</t>
  </si>
  <si>
    <t>Allowed Values / Code List</t>
  </si>
  <si>
    <t>Acceptable list of values for the parameter</t>
  </si>
  <si>
    <t>Quality Rules / Validation</t>
  </si>
  <si>
    <t>Input validations to be put in place to ensure user does not input an incorrect value</t>
  </si>
  <si>
    <t>Granularity (Grain)</t>
  </si>
  <si>
    <t>The atomicity at which data points values are collected</t>
  </si>
  <si>
    <t>Time Dimension</t>
  </si>
  <si>
    <t>The frequency over which the data point is to be collected</t>
  </si>
  <si>
    <t>Example</t>
  </si>
  <si>
    <t>A sample input for the data point</t>
  </si>
  <si>
    <t>Yield Optimizer Produce Driver</t>
  </si>
  <si>
    <t>Is the data point a mandatory/optional field for YO Produce Optimizer or not applicable?</t>
  </si>
  <si>
    <t>Yield Optimizer Satellite Monitoring</t>
  </si>
  <si>
    <t>Is the data point a mandatory/optional field for YO Satellite Monitoring or not applicable?</t>
  </si>
  <si>
    <t>Source System (SAP)</t>
  </si>
  <si>
    <t>The mapping in SAP tool to identify the tagging of the data point with the source system</t>
  </si>
  <si>
    <t>Source Table (SAP)</t>
  </si>
  <si>
    <t>The mapping in SAP tool to identify the tagging of the data point with the source table under the source system</t>
  </si>
  <si>
    <t>Data Point Groups</t>
  </si>
  <si>
    <t>Grower Master Data</t>
  </si>
  <si>
    <t>Core reference data describing a grower entity</t>
  </si>
  <si>
    <t>Farm Master Data</t>
  </si>
  <si>
    <t>Core reference data describing a farm entity</t>
  </si>
  <si>
    <t>Contract</t>
  </si>
  <si>
    <t xml:space="preserve">Data governing the commercial agreements </t>
  </si>
  <si>
    <t>Operational</t>
  </si>
  <si>
    <t>Non- agronomic category-such as batch no., loading date &amp; time, planned delivery dates, plant, etc. and potato production data including input costs, contract values, yield, potato base amount, total amount, etc.</t>
  </si>
  <si>
    <t>Financial</t>
  </si>
  <si>
    <t>Field</t>
  </si>
  <si>
    <t xml:space="preserve">Individual Field data like ownership, type of irrigation, soil data, compaction data, </t>
  </si>
  <si>
    <t>Planting</t>
  </si>
  <si>
    <t>Planting dates, seed variety, seed lot details, seed rate, row spacing, field allocation</t>
  </si>
  <si>
    <t xml:space="preserve">Fertilizer </t>
  </si>
  <si>
    <t>Fertilizer type- application method, timing, rates, and field-level records, irrigation system type, application volumes, timing, soil moisture readings and crop protection products.</t>
  </si>
  <si>
    <t>Chemicals</t>
  </si>
  <si>
    <t>Irrigation</t>
  </si>
  <si>
    <t>Crop development</t>
  </si>
  <si>
    <t>Growth stages of the potato-emergence dates, % cover, tuber initiation etc.</t>
  </si>
  <si>
    <t>Chipstock dig data</t>
  </si>
  <si>
    <t>Yield dig data like dig date, tuber weight, tuber count, % cover, harvested yield of potatoes total defects, measured solids, total solids etc.</t>
  </si>
  <si>
    <t>Storage Chemicals</t>
  </si>
  <si>
    <t>Storage facilities data- including cell number, store name, fresh volume, stored volume, etc. anti-sprouting treatment details, Quality assessment data from fry testing, storage facility details like location &amp; capacity, storage monitoring like rot, spoilage, conditions etc.</t>
  </si>
  <si>
    <t>Storage Infrastructure</t>
  </si>
  <si>
    <t>Chipstock actual harvest</t>
  </si>
  <si>
    <t>Chipstock Storage</t>
  </si>
  <si>
    <t>Store cell check</t>
  </si>
  <si>
    <t>Storage Fry Sample</t>
  </si>
  <si>
    <t>Foundation Critical</t>
  </si>
  <si>
    <t>Baseline data template layer with mandatory core data elements required for Global KPI calculation</t>
  </si>
  <si>
    <t>Foundation Recommended</t>
  </si>
  <si>
    <t>Baseline data template layer that supports better granuality, compliance, traceability and deeper analytics</t>
  </si>
  <si>
    <t>Advance Insights</t>
  </si>
  <si>
    <t>Enhanced data template layer that supports advanced insights and innovation use cases</t>
  </si>
  <si>
    <t>Parameters common with CFT</t>
  </si>
  <si>
    <t>Mandatory</t>
  </si>
  <si>
    <t>Mandatory parameter for Global KPI, Yield Optimizer Produce Driver or Satellite Monitoring</t>
  </si>
  <si>
    <t>Optional</t>
  </si>
  <si>
    <t>Optional parameter for Global KPI, Yield Optimizer Produce Driver or Satellite Monitoring</t>
  </si>
  <si>
    <t>Sl. No.</t>
  </si>
  <si>
    <t>Foundation Critical / Foundation Recommended / Advanced Insights</t>
  </si>
  <si>
    <t>Input Format + Validation</t>
  </si>
  <si>
    <t>Mandatory for KPI calculation?</t>
  </si>
  <si>
    <t>Satellite Monitoring</t>
  </si>
  <si>
    <t>Benchmarks</t>
  </si>
  <si>
    <t>Actions based on benchmarks</t>
  </si>
  <si>
    <t>Field Name</t>
  </si>
  <si>
    <t>Field ID or name of the farm</t>
  </si>
  <si>
    <t>Agro</t>
  </si>
  <si>
    <t>On-Farm Production</t>
  </si>
  <si>
    <t>Baseline</t>
  </si>
  <si>
    <t>Dropdown (based on user tables)</t>
  </si>
  <si>
    <t>User Tables</t>
  </si>
  <si>
    <t>Not null</t>
  </si>
  <si>
    <t>Dropdown (based on user tables), Not null</t>
  </si>
  <si>
    <t>Sujit's Farms</t>
  </si>
  <si>
    <t>N/A</t>
  </si>
  <si>
    <t>Source System</t>
  </si>
  <si>
    <t>Source Table</t>
  </si>
  <si>
    <t>Variety</t>
  </si>
  <si>
    <t>Potato variety name for Farm Master data</t>
  </si>
  <si>
    <t>Variety master list</t>
  </si>
  <si>
    <t>In master list, not null</t>
  </si>
  <si>
    <t>Dropdown (based on user tables), Variety master list, In master list, not null</t>
  </si>
  <si>
    <t>Low Glyciene</t>
  </si>
  <si>
    <t>Field/Variety</t>
  </si>
  <si>
    <t>Year</t>
  </si>
  <si>
    <t>Variety System</t>
  </si>
  <si>
    <t>Variety Master</t>
  </si>
  <si>
    <t>Country</t>
  </si>
  <si>
    <t>ISO country code</t>
  </si>
  <si>
    <t>Code</t>
  </si>
  <si>
    <t>ISO Country Code</t>
  </si>
  <si>
    <t>Not null, valid ISO code</t>
  </si>
  <si>
    <t>ISO Country Code, Not null, valid ISO code</t>
  </si>
  <si>
    <t>IND (India)</t>
  </si>
  <si>
    <t>Global</t>
  </si>
  <si>
    <t>Master Data</t>
  </si>
  <si>
    <t>Country Master</t>
  </si>
  <si>
    <t>Vendor Name</t>
  </si>
  <si>
    <t>Name of the vendor/supplier</t>
  </si>
  <si>
    <t>Commercial</t>
  </si>
  <si>
    <t>Vendor list</t>
  </si>
  <si>
    <t>Dropdown (based on user tables), Vendor list, Not null</t>
  </si>
  <si>
    <t>John Doe</t>
  </si>
  <si>
    <t>Vendor Master</t>
  </si>
  <si>
    <t>Grower Name</t>
  </si>
  <si>
    <t>Name of the grower/farmer</t>
  </si>
  <si>
    <t>Grower</t>
  </si>
  <si>
    <t>Farm System</t>
  </si>
  <si>
    <t>Grower Master</t>
  </si>
  <si>
    <t>Crop Season</t>
  </si>
  <si>
    <t>Crop season year</t>
  </si>
  <si>
    <t>Year (YYYY)</t>
  </si>
  <si>
    <t>Calendar year</t>
  </si>
  <si>
    <t>Valid year format</t>
  </si>
  <si>
    <t>Calendar Year (YYYY), Valid year format</t>
  </si>
  <si>
    <t>Summer</t>
  </si>
  <si>
    <t>Season Master</t>
  </si>
  <si>
    <t>Field Location</t>
  </si>
  <si>
    <t>GPS/geographic field location via Polygon Mapping</t>
  </si>
  <si>
    <t>GPS Coordinates (Lat, Long in decimals)</t>
  </si>
  <si>
    <t>GPS coordinates</t>
  </si>
  <si>
    <t>Valid GPS format</t>
  </si>
  <si>
    <t>Polygon Mapping GPS Coordinates (Lat, Long in decimals), Valid GPS format</t>
  </si>
  <si>
    <t>18:20:23 30:10:12</t>
  </si>
  <si>
    <t>Season</t>
  </si>
  <si>
    <t>Field Master</t>
  </si>
  <si>
    <t>Region</t>
  </si>
  <si>
    <t>Name of the Geographic region or state</t>
  </si>
  <si>
    <t>Region/State list</t>
  </si>
  <si>
    <t>Dropdown (based on user tables), Region/State list, Not null</t>
  </si>
  <si>
    <t>AMESA</t>
  </si>
  <si>
    <t>Region Master</t>
  </si>
  <si>
    <t>Vendor Contact details</t>
  </si>
  <si>
    <t>Phone/Email of the vendor</t>
  </si>
  <si>
    <t>Number</t>
  </si>
  <si>
    <t>n/a</t>
  </si>
  <si>
    <t>Valid contract format</t>
  </si>
  <si>
    <t>Number, Valid contract format</t>
  </si>
  <si>
    <t>+91-8030273338</t>
  </si>
  <si>
    <t>Vendor</t>
  </si>
  <si>
    <t>CIPC/Chemical Applied</t>
  </si>
  <si>
    <t>Sprout inhibitor application</t>
  </si>
  <si>
    <t>Post Harvest Handling</t>
  </si>
  <si>
    <t>Chemical list</t>
  </si>
  <si>
    <t>In chemical list</t>
  </si>
  <si>
    <t>Dropdown (based on user tables), Chemical list, In chemical list</t>
  </si>
  <si>
    <t>-</t>
  </si>
  <si>
    <t>Store/Cell</t>
  </si>
  <si>
    <t>Year, Season</t>
  </si>
  <si>
    <t>Storage System</t>
  </si>
  <si>
    <t>Chemical Log</t>
  </si>
  <si>
    <t>Other CIPC/Chemical Applied - Manual entry</t>
  </si>
  <si>
    <t>Manual entry for other chemicals</t>
  </si>
  <si>
    <t>Valid input</t>
  </si>
  <si>
    <t>Dropdown (based on user tables), Valid input</t>
  </si>
  <si>
    <t>Application Method</t>
  </si>
  <si>
    <t>How fertilizer was applied for storage chemicals</t>
  </si>
  <si>
    <t>Dropdown (Broadcast/Banding/etc)</t>
  </si>
  <si>
    <t>Broadcast, Banding, Foliar, Drip</t>
  </si>
  <si>
    <t>Not null, in allowed values</t>
  </si>
  <si>
    <t>Dropdown (Broadcast, Banding, Foliar, Drip), Not null, in allowed values</t>
  </si>
  <si>
    <t>Broadcast</t>
  </si>
  <si>
    <t>Field/Season</t>
  </si>
  <si>
    <t>Fertilizer Logs</t>
  </si>
  <si>
    <t>Product name</t>
  </si>
  <si>
    <t>Pesticide/chemical product name</t>
  </si>
  <si>
    <t>Advanced Insights</t>
  </si>
  <si>
    <t>Enhanced</t>
  </si>
  <si>
    <t>Chemical product list</t>
  </si>
  <si>
    <t>Not null, in product list</t>
  </si>
  <si>
    <t>Dropdown (based on user tables), Chemical product list, Not null, in product list</t>
  </si>
  <si>
    <t>Chemical Logs</t>
  </si>
  <si>
    <t>Product type</t>
  </si>
  <si>
    <t>Type of plant protection product</t>
  </si>
  <si>
    <t>Dropdown (Fungicide/Insecticide/etc)</t>
  </si>
  <si>
    <t>Herbicide / Insecticide / Fungicide / Nematicide / Other / Acaricide / Bactericide / Defoliant / Germ inhibitor / (PGR) Plant Growth Regulator / Mineral Virus Oil / Biological Herbicide / Biological Insecticide / Biological Fungicide / Biological Nematicide / Biological Acaricide / Biological Bactericide / Biological (PGR) Plant Growth Regulator</t>
  </si>
  <si>
    <t>Dropdown (Fungicide/Insecticide/etc), Herbicide / Insecticide / Fungicide / Nematicide / Other / Acaricide / Bactericide / Defoliant / Germ inhibitor / (PGR) Plant Growth Regulator / Mineral Virus Oil / Biological Herbicide / Biological Insecticide / Biological Fungicide / Biological Nematicide / Biological Acaricide / Biological Bactericide / Biological (PGR) Plant Growth Regulator, Not null, in allowed values</t>
  </si>
  <si>
    <t>Fungicide</t>
  </si>
  <si>
    <t>Producer name</t>
  </si>
  <si>
    <t>Chemical manufacturer name</t>
  </si>
  <si>
    <t>Producer list</t>
  </si>
  <si>
    <t>Dropdown (based on user tables), Producer list, Not null</t>
  </si>
  <si>
    <t>Active ingredient</t>
  </si>
  <si>
    <t>Active ingredient name</t>
  </si>
  <si>
    <t>Ingredient list</t>
  </si>
  <si>
    <t>Dropdown (based on user tables), Ingredient list, Not null</t>
  </si>
  <si>
    <t>Liquid Chemical Application Rate</t>
  </si>
  <si>
    <t>Application rate for liquids</t>
  </si>
  <si>
    <t>litres/ha Decimal</t>
  </si>
  <si>
    <t>&gt;=0</t>
  </si>
  <si>
    <t>&gt;= 0</t>
  </si>
  <si>
    <t>litres/ha Decimal, &gt;=0</t>
  </si>
  <si>
    <t>Dry Chemical Application Rate</t>
  </si>
  <si>
    <t>Application rate for dry products</t>
  </si>
  <si>
    <t>kg/ha Decimal</t>
  </si>
  <si>
    <t>kg/ha Decimal, &gt;=0</t>
  </si>
  <si>
    <t>PepsiCo Agronomist Name</t>
  </si>
  <si>
    <t>Which PepsiCo Agronomist is collecting this data?</t>
  </si>
  <si>
    <t>Irrigation type</t>
  </si>
  <si>
    <t>Type of irrigation system</t>
  </si>
  <si>
    <t>Dropdown (Drip/Flood/Spray/Rainfed)</t>
  </si>
  <si>
    <t>Drip, Flood, Spray, Rainfed</t>
  </si>
  <si>
    <t>Dropdown (Drip/Flood/Spray/Rainfed), Not null, in allowed values</t>
  </si>
  <si>
    <t>Drip</t>
  </si>
  <si>
    <t>Field Season</t>
  </si>
  <si>
    <t>N Applied</t>
  </si>
  <si>
    <t>Nitrogen application rate</t>
  </si>
  <si>
    <t>&gt;= 0, not null</t>
  </si>
  <si>
    <t>kg/ha Decimal, &gt;=0, not null</t>
  </si>
  <si>
    <t>N - Total</t>
  </si>
  <si>
    <t>Total nitrogen applied</t>
  </si>
  <si>
    <t>Weight in tons ('000kg)</t>
  </si>
  <si>
    <t>Weight in tons ('000kg), &gt;=0, not null</t>
  </si>
  <si>
    <t>P - Total</t>
  </si>
  <si>
    <t>Total phosphorus applied</t>
  </si>
  <si>
    <t>K - Total</t>
  </si>
  <si>
    <t>Total potassium applied</t>
  </si>
  <si>
    <t>Is digital Variable Rate Technology used?</t>
  </si>
  <si>
    <t>VRT usage status</t>
  </si>
  <si>
    <t>Yes/No</t>
  </si>
  <si>
    <t>Yes, No</t>
  </si>
  <si>
    <t>In allowed values</t>
  </si>
  <si>
    <t>yes/no, In allowed values</t>
  </si>
  <si>
    <t>Yes</t>
  </si>
  <si>
    <t>Fertilizers are applied according to?</t>
  </si>
  <si>
    <t>Basis for fertilizer application</t>
  </si>
  <si>
    <t>Application Date</t>
  </si>
  <si>
    <t>Fertilizer application date</t>
  </si>
  <si>
    <t>Date (YYYY-MM-DD)</t>
  </si>
  <si>
    <t>Valid date</t>
  </si>
  <si>
    <t>Not null, valid date</t>
  </si>
  <si>
    <t>Date (YYYY-MM-DD), Valid date, Not null</t>
  </si>
  <si>
    <t>Season, Month</t>
  </si>
  <si>
    <t>Fertilizer Type</t>
  </si>
  <si>
    <t>Type of fertilizer used</t>
  </si>
  <si>
    <r>
      <t>Specific User-table per Region/Country database and "</t>
    </r>
    <r>
      <rPr>
        <b/>
        <sz val="9"/>
        <color theme="1"/>
        <rFont val="Aptos Narrow"/>
        <family val="2"/>
        <scheme val="minor"/>
      </rPr>
      <t>Other</t>
    </r>
    <r>
      <rPr>
        <sz val="9"/>
        <color theme="1"/>
        <rFont val="Aptos Narrow"/>
        <family val="2"/>
        <scheme val="minor"/>
      </rPr>
      <t>" option available into the drop-down list.</t>
    </r>
  </si>
  <si>
    <t>Not null, in types list</t>
  </si>
  <si>
    <t>Dropdown (based on user tables), Specific User-table per Region/Country database and "Other" option available into the drop-down list, Not null, in types list</t>
  </si>
  <si>
    <t>Fertilizer Nature</t>
  </si>
  <si>
    <t>Fertilizer origin</t>
  </si>
  <si>
    <t>Dropdown (based on user tables), Not null, in allowed values</t>
  </si>
  <si>
    <t>Mineral</t>
  </si>
  <si>
    <t>Nitrogen Analysis %</t>
  </si>
  <si>
    <t>N content percentage</t>
  </si>
  <si>
    <t>Percentage</t>
  </si>
  <si>
    <t>0-100</t>
  </si>
  <si>
    <t>Percentage, 0-100</t>
  </si>
  <si>
    <t>Ammonia Percentage</t>
  </si>
  <si>
    <t>Ammonia content</t>
  </si>
  <si>
    <t>Nitric Percentage</t>
  </si>
  <si>
    <t>Nitric content</t>
  </si>
  <si>
    <t>Urea Percentage</t>
  </si>
  <si>
    <t>Urea content</t>
  </si>
  <si>
    <t>Phosphate Analysis %</t>
  </si>
  <si>
    <t>P content percentage</t>
  </si>
  <si>
    <t>Potassium Analysis %</t>
  </si>
  <si>
    <t>K content percentage</t>
  </si>
  <si>
    <t>Manufactured In</t>
  </si>
  <si>
    <t>Manufacturing location</t>
  </si>
  <si>
    <t>Country/Region list</t>
  </si>
  <si>
    <t>Valid country/region</t>
  </si>
  <si>
    <t>Dropdown (based on user tables), Country/Region list, Valid country/region</t>
  </si>
  <si>
    <t>None CFT If other: Manual Entry Nitrogen%</t>
  </si>
  <si>
    <t>Manual entry of Nitrogen % if Cool Farm Tool is not automatically collecting the data</t>
  </si>
  <si>
    <t>None CFT If other: Manual Entry Phosphate%</t>
  </si>
  <si>
    <t>Manual entry of Phosphate % if Cool Farm Tool is not automatically collecting the data</t>
  </si>
  <si>
    <t>None CFT If other: Manual Entry Potassium%</t>
  </si>
  <si>
    <t>Manual entry of Potassium % if Cool Farm Tool is not automatically collecting the data</t>
  </si>
  <si>
    <t>Application Rate</t>
  </si>
  <si>
    <t>Rate of application</t>
  </si>
  <si>
    <t>How fertilizer was applied</t>
  </si>
  <si>
    <t>Broadcast, Banding, Foliar, Drip
Broadcast, Incorporate in-furrow, Fertigation, Sprayer</t>
  </si>
  <si>
    <t>Dropdown (Broadcast, Banding, Foliar, Drip)
Dropdown (Broadcast, Incorporate in-furrow, Fertigation, Sprayer), Not null, in allowed values</t>
  </si>
  <si>
    <t>Emissions Inhibitors</t>
  </si>
  <si>
    <t>Emissions inhibitor use</t>
  </si>
  <si>
    <t>N - Application Date</t>
  </si>
  <si>
    <t>Nitrogen application date</t>
  </si>
  <si>
    <t>P - Application Date</t>
  </si>
  <si>
    <t>Phosphorus application date</t>
  </si>
  <si>
    <t>K - Application Date</t>
  </si>
  <si>
    <t>Potassium application date</t>
  </si>
  <si>
    <t>Bank Details</t>
  </si>
  <si>
    <t>Bank account information of the grower</t>
  </si>
  <si>
    <t>Finance</t>
  </si>
  <si>
    <t>Alpha-Numeric</t>
  </si>
  <si>
    <t>Valid format</t>
  </si>
  <si>
    <t>Alpha-Numeric, n/a, Valid format</t>
  </si>
  <si>
    <t>RFX1001011010</t>
  </si>
  <si>
    <t>Seed Treatments</t>
  </si>
  <si>
    <t>Seed treatment applied</t>
  </si>
  <si>
    <t>Treatment types list</t>
  </si>
  <si>
    <t>In treatment list</t>
  </si>
  <si>
    <t>Dropdown (based on user tables), Treatment types list, In treatment list</t>
  </si>
  <si>
    <t>Seed Data</t>
  </si>
  <si>
    <t>Treated Against Storage Diseases (Imazalil, Thiabendazool)?</t>
  </si>
  <si>
    <t>Storage disease treatment status</t>
  </si>
  <si>
    <t>Treatment done with a fungicide against rhizoctonia?</t>
  </si>
  <si>
    <t>Rhizoctonia fungicide application</t>
  </si>
  <si>
    <t>Other Application Method - Manual entry</t>
  </si>
  <si>
    <t>Manual entry for other methods</t>
  </si>
  <si>
    <t>Valid text</t>
  </si>
  <si>
    <t>Dropdown (based on user tables), Valid text</t>
  </si>
  <si>
    <t>Active Ingredient Application Rate</t>
  </si>
  <si>
    <t>Application rate of active ingredient</t>
  </si>
  <si>
    <t>kg/ha or litres/ha Decimal</t>
  </si>
  <si>
    <t>kg/ha or litres/ha Decimal, &gt;=0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</si>
</sst>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[$-14009]yyyy/mm/dd;@"/>
  </numFmts>
  <fonts count="7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000000"/>
      <name val="Aptos Display"/>
      <family val="2"/>
      <scheme val="major"/>
    </font>
    <font>
      <sz val="9"/>
      <color rgb="FF000000"/>
      <name val="Aptos Narrow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 readingOrder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 readingOrder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 readingOrder="1"/>
    </xf>
    <xf numFmtId="0" fontId="1" fillId="3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/>
    </xf>
    <xf numFmtId="0" fontId="1" fillId="5" borderId="9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6">
    <dxf>
      <font>
        <strike val="0"/>
        <outline val="0"/>
        <shadow val="0"/>
        <u val="none"/>
        <vertAlign val="baseline"/>
        <sz val="9"/>
        <color rgb="FF000000"/>
        <name val="Aptos Display"/>
        <family val="2"/>
        <scheme val="maj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rgb="FF000000"/>
        <name val="Aptos Display"/>
        <family val="2"/>
        <scheme val="maj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rgb="FF000000"/>
        <name val="Aptos Display"/>
        <family val="2"/>
        <scheme val="maj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rgb="FF000000"/>
        <name val="Aptos Display"/>
        <family val="2"/>
        <scheme val="maj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rgb="FF000000"/>
        <name val="Aptos Display"/>
        <family val="2"/>
        <scheme val="maj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rgb="FF000000"/>
        <name val="Aptos Display"/>
        <family val="2"/>
        <scheme val="maj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rgb="FF000000"/>
        <name val="Aptos Display"/>
        <family val="2"/>
        <scheme val="maj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rgb="FF000000"/>
        <name val="Aptos Display"/>
        <family val="2"/>
        <scheme val="maj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rgb="FF000000"/>
        <name val="Aptos Display"/>
        <family val="2"/>
        <scheme val="maj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rgb="FF000000"/>
        <name val="Aptos Display"/>
        <family val="2"/>
        <scheme val="maj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outline="0"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ptos Display"/>
        <family val="2"/>
        <scheme val="maj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vishal_ratan_pepsico_com/Documents/Microsoft%20Teams%20Chat%20Files/Global%20Ag%20Data%20Template.xlsx" TargetMode="External"/><Relationship Id="rId2" Type="http://schemas.openxmlformats.org/officeDocument/2006/relationships/externalLinkPath" Target="https://pepsico-my.sharepoint.com/personal/vishal_ratan_pepsico_com/Documents/Microsoft%20Teams%20Chat%20Files/Global%20Ag%20Data%20Template.xlsx" TargetMode="External"/><Relationship Id="rId1" Type="http://schemas.openxmlformats.org/officeDocument/2006/relationships/externalLinkPath" Target="/personal/vishal_ratan_pepsico_com/Documents/Microsoft%20Teams%20Chat%20Files/Global%20Ag%20Data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"/>
      <sheetName val="Definitions Legend"/>
      <sheetName val="Dashboard"/>
      <sheetName val="Complete Parameter List - New"/>
      <sheetName val="Foundation"/>
      <sheetName val="Advanced"/>
      <sheetName val="PoC Filtered List"/>
      <sheetName val="Unique Data Elements"/>
      <sheetName val="Global Ag Data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AB72D2-05C9-4A9E-AE21-5E46E14D4682}" name="Table1464" displayName="Table1464" ref="B2:W53" totalsRowShown="0" headerRowDxfId="26" dataDxfId="25" headerRowBorderDxfId="23" tableBorderDxfId="24" totalsRowBorderDxfId="22">
  <autoFilter ref="B2:W53" xr:uid="{53AB72D2-05C9-4A9E-AE21-5E46E14D4682}"/>
  <sortState xmlns:xlrd2="http://schemas.microsoft.com/office/spreadsheetml/2017/richdata2" ref="B3:W53">
    <sortCondition ref="H3:H53" customList="Foundation Critical,Foundation Recommended,Advanced Insights"/>
    <sortCondition ref="C3:C53"/>
  </sortState>
  <tableColumns count="22">
    <tableColumn id="20" xr3:uid="{044EC264-8833-4A12-9852-ABE4085F9ACE}" name="Sl. No." dataDxfId="21"/>
    <tableColumn id="1" xr3:uid="{DFE7B121-DAA6-4E45-A6BB-F4180E61DC68}" name="Data point groups" dataDxfId="20"/>
    <tableColumn id="2" xr3:uid="{6143781A-F75C-4B0F-8473-03947DA76A74}" name="Data points" dataDxfId="19"/>
    <tableColumn id="3" xr3:uid="{1B4B38AD-5FD2-4844-9064-2FB7D17843F6}" name="Parameter Description" dataDxfId="18"/>
    <tableColumn id="5" xr3:uid="{9D452BDC-439C-4684-BEF2-0D562B9B7E20}" name="Custodian" dataDxfId="17"/>
    <tableColumn id="6" xr3:uid="{109A37C5-FE38-4A55-97F4-03A0A2586101}" name="Dig-site" dataDxfId="16"/>
    <tableColumn id="8" xr3:uid="{1FB76BA5-E701-425B-882D-529D4529DAB6}" name="Foundation Critical / Foundation Recommended / Advanced Insights" dataDxfId="15"/>
    <tableColumn id="43" xr3:uid="{1C001AE4-B31E-494C-BFC2-319A5E7A6F08}" name="Baseline / Enhanced?" dataDxfId="14"/>
    <tableColumn id="44" xr3:uid="{B7B6720A-C5E7-4155-9F80-238386372109}" name="Input Format" dataDxfId="13"/>
    <tableColumn id="22" xr3:uid="{240D8C34-76CA-4B35-B1DB-8590531BD17F}" name="Allowed Values / Code List" dataDxfId="12"/>
    <tableColumn id="41" xr3:uid="{E3D0EF9E-C648-457D-AFBB-966CE98E2A79}" name="Quality Rules / Validation" dataDxfId="11"/>
    <tableColumn id="4" xr3:uid="{7625663F-7FA9-4F43-9078-A4891D7B68B8}" name="Input Format + Validation" dataDxfId="10"/>
    <tableColumn id="7" xr3:uid="{B7B97162-7CDE-4F8E-8F21-3AFDA506453F}" name="Example" dataDxfId="9"/>
    <tableColumn id="9" xr3:uid="{D0BB150E-7560-4CCB-A9C9-78D5CB5AD1C8}" name="Granularity (Grain)" dataDxfId="8"/>
    <tableColumn id="10" xr3:uid="{D8121B80-C92B-4AB4-AC8C-D329694218CF}" name="Time Dimension" dataDxfId="7"/>
    <tableColumn id="16" xr3:uid="{4064F24B-5E0D-44F2-B392-10E2A64B4549}" name="Mandatory for KPI calculation?" dataDxfId="6">
      <calculatedColumnFormula>IF([1]!Table1464[[#This Row],[Foundation Critical / Foundation Recommended / Advanced Insights]]="Foundation Critical","Mandatory","Optional")</calculatedColumnFormula>
    </tableColumn>
    <tableColumn id="11" xr3:uid="{C51169E7-1414-4E1B-9C31-A411F84B20DF}" name="Yield Optimizer Produce Driver" dataDxfId="5"/>
    <tableColumn id="12" xr3:uid="{56ED9100-1894-4A51-A2F0-922215D4A296}" name="Satellite Monitoring" dataDxfId="4"/>
    <tableColumn id="13" xr3:uid="{8F2497A0-5302-4A09-A5E3-DF618834B4CE}" name="Source System (SAP)" dataDxfId="3"/>
    <tableColumn id="14" xr3:uid="{BA31D5BB-9C6E-43C2-8B83-0DC4796EC070}" name="Source Table (SAP)" dataDxfId="2"/>
    <tableColumn id="15" xr3:uid="{E238CB2F-38E9-47A1-BAA0-775F0D379211}" name="Benchmarks" dataDxfId="1"/>
    <tableColumn id="17" xr3:uid="{B9671010-6AC9-4E8C-A14E-5C66B8FBA1A0}" name="Actions based on bench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AF8B-C81F-4C63-A473-718867A708BC}">
  <dimension ref="B1:C49"/>
  <sheetViews>
    <sheetView topLeftCell="A34" workbookViewId="0">
      <selection activeCell="B42" sqref="B42"/>
    </sheetView>
  </sheetViews>
  <sheetFormatPr defaultColWidth="8.7109375" defaultRowHeight="12.95"/>
  <cols>
    <col min="1" max="1" width="8.42578125" style="20" customWidth="1"/>
    <col min="2" max="2" width="43.42578125" style="20" bestFit="1" customWidth="1"/>
    <col min="3" max="3" width="102.5703125" style="21" customWidth="1"/>
    <col min="4" max="16384" width="8.7109375" style="20"/>
  </cols>
  <sheetData>
    <row r="1" spans="2:3" ht="13.5" thickBot="1"/>
    <row r="2" spans="2:3" ht="13.5" thickBot="1">
      <c r="B2" s="22" t="s">
        <v>0</v>
      </c>
      <c r="C2" s="23" t="s">
        <v>1</v>
      </c>
    </row>
    <row r="3" spans="2:3">
      <c r="B3" s="24" t="s">
        <v>2</v>
      </c>
      <c r="C3" s="25" t="s">
        <v>3</v>
      </c>
    </row>
    <row r="4" spans="2:3">
      <c r="B4" s="26" t="s">
        <v>4</v>
      </c>
      <c r="C4" s="27" t="s">
        <v>5</v>
      </c>
    </row>
    <row r="5" spans="2:3">
      <c r="B5" s="26" t="s">
        <v>6</v>
      </c>
      <c r="C5" s="27" t="s">
        <v>7</v>
      </c>
    </row>
    <row r="6" spans="2:3">
      <c r="B6" s="26" t="s">
        <v>8</v>
      </c>
      <c r="C6" s="27" t="s">
        <v>9</v>
      </c>
    </row>
    <row r="7" spans="2:3">
      <c r="B7" s="26" t="s">
        <v>10</v>
      </c>
      <c r="C7" s="27" t="s">
        <v>11</v>
      </c>
    </row>
    <row r="8" spans="2:3">
      <c r="B8" s="26" t="s">
        <v>12</v>
      </c>
      <c r="C8" s="27" t="s">
        <v>13</v>
      </c>
    </row>
    <row r="9" spans="2:3">
      <c r="B9" s="26" t="s">
        <v>14</v>
      </c>
      <c r="C9" s="27" t="s">
        <v>15</v>
      </c>
    </row>
    <row r="10" spans="2:3">
      <c r="B10" s="26" t="s">
        <v>16</v>
      </c>
      <c r="C10" s="27" t="s">
        <v>17</v>
      </c>
    </row>
    <row r="11" spans="2:3">
      <c r="B11" s="26" t="s">
        <v>18</v>
      </c>
      <c r="C11" s="27" t="s">
        <v>19</v>
      </c>
    </row>
    <row r="12" spans="2:3">
      <c r="B12" s="26" t="s">
        <v>20</v>
      </c>
      <c r="C12" s="27" t="s">
        <v>21</v>
      </c>
    </row>
    <row r="13" spans="2:3">
      <c r="B13" s="26" t="s">
        <v>22</v>
      </c>
      <c r="C13" s="27" t="s">
        <v>23</v>
      </c>
    </row>
    <row r="14" spans="2:3">
      <c r="B14" s="26" t="s">
        <v>24</v>
      </c>
      <c r="C14" s="27" t="s">
        <v>25</v>
      </c>
    </row>
    <row r="15" spans="2:3">
      <c r="B15" s="26" t="s">
        <v>26</v>
      </c>
      <c r="C15" s="27" t="s">
        <v>27</v>
      </c>
    </row>
    <row r="16" spans="2:3">
      <c r="B16" s="26" t="s">
        <v>28</v>
      </c>
      <c r="C16" s="27" t="s">
        <v>29</v>
      </c>
    </row>
    <row r="17" spans="2:3">
      <c r="B17" s="26" t="s">
        <v>30</v>
      </c>
      <c r="C17" s="27" t="s">
        <v>31</v>
      </c>
    </row>
    <row r="18" spans="2:3">
      <c r="B18" s="26" t="s">
        <v>32</v>
      </c>
      <c r="C18" s="27" t="s">
        <v>33</v>
      </c>
    </row>
    <row r="19" spans="2:3" ht="13.5" thickBot="1">
      <c r="B19" s="28" t="s">
        <v>34</v>
      </c>
      <c r="C19" s="29" t="s">
        <v>35</v>
      </c>
    </row>
    <row r="21" spans="2:3" ht="13.5" thickBot="1"/>
    <row r="22" spans="2:3" ht="13.5" thickBot="1">
      <c r="B22" s="22" t="s">
        <v>36</v>
      </c>
      <c r="C22" s="23" t="s">
        <v>1</v>
      </c>
    </row>
    <row r="23" spans="2:3">
      <c r="B23" s="30" t="s">
        <v>37</v>
      </c>
      <c r="C23" s="31" t="s">
        <v>38</v>
      </c>
    </row>
    <row r="24" spans="2:3">
      <c r="B24" s="32" t="s">
        <v>39</v>
      </c>
      <c r="C24" s="33" t="s">
        <v>40</v>
      </c>
    </row>
    <row r="25" spans="2:3">
      <c r="B25" s="32" t="s">
        <v>41</v>
      </c>
      <c r="C25" s="33" t="s">
        <v>42</v>
      </c>
    </row>
    <row r="26" spans="2:3" ht="26.1">
      <c r="B26" s="32" t="s">
        <v>43</v>
      </c>
      <c r="C26" s="33" t="s">
        <v>44</v>
      </c>
    </row>
    <row r="27" spans="2:3" ht="26.1">
      <c r="B27" s="32" t="s">
        <v>45</v>
      </c>
      <c r="C27" s="33" t="s">
        <v>44</v>
      </c>
    </row>
    <row r="28" spans="2:3">
      <c r="B28" s="32" t="s">
        <v>46</v>
      </c>
      <c r="C28" s="33" t="s">
        <v>47</v>
      </c>
    </row>
    <row r="29" spans="2:3">
      <c r="B29" s="32" t="s">
        <v>48</v>
      </c>
      <c r="C29" s="33" t="s">
        <v>49</v>
      </c>
    </row>
    <row r="30" spans="2:3" ht="26.1">
      <c r="B30" s="32" t="s">
        <v>50</v>
      </c>
      <c r="C30" s="33" t="s">
        <v>51</v>
      </c>
    </row>
    <row r="31" spans="2:3" ht="26.1">
      <c r="B31" s="32" t="s">
        <v>52</v>
      </c>
      <c r="C31" s="33" t="s">
        <v>51</v>
      </c>
    </row>
    <row r="32" spans="2:3" ht="26.1">
      <c r="B32" s="32" t="s">
        <v>53</v>
      </c>
      <c r="C32" s="33" t="s">
        <v>51</v>
      </c>
    </row>
    <row r="33" spans="2:3">
      <c r="B33" s="32" t="s">
        <v>54</v>
      </c>
      <c r="C33" s="33" t="s">
        <v>55</v>
      </c>
    </row>
    <row r="34" spans="2:3">
      <c r="B34" s="32" t="s">
        <v>56</v>
      </c>
      <c r="C34" s="33" t="s">
        <v>57</v>
      </c>
    </row>
    <row r="35" spans="2:3" ht="26.1">
      <c r="B35" s="32" t="s">
        <v>58</v>
      </c>
      <c r="C35" s="33" t="s">
        <v>59</v>
      </c>
    </row>
    <row r="36" spans="2:3" ht="26.1">
      <c r="B36" s="32" t="s">
        <v>60</v>
      </c>
      <c r="C36" s="33" t="s">
        <v>59</v>
      </c>
    </row>
    <row r="37" spans="2:3">
      <c r="B37" s="32" t="s">
        <v>61</v>
      </c>
      <c r="C37" s="33" t="s">
        <v>57</v>
      </c>
    </row>
    <row r="38" spans="2:3" ht="26.1">
      <c r="B38" s="32" t="s">
        <v>62</v>
      </c>
      <c r="C38" s="33" t="s">
        <v>59</v>
      </c>
    </row>
    <row r="39" spans="2:3" ht="26.1">
      <c r="B39" s="32" t="s">
        <v>63</v>
      </c>
      <c r="C39" s="33" t="s">
        <v>59</v>
      </c>
    </row>
    <row r="40" spans="2:3" ht="26.45" thickBot="1">
      <c r="B40" s="34" t="s">
        <v>64</v>
      </c>
      <c r="C40" s="35" t="s">
        <v>59</v>
      </c>
    </row>
    <row r="43" spans="2:3" ht="13.5" thickBot="1"/>
    <row r="44" spans="2:3">
      <c r="B44" s="36" t="s">
        <v>65</v>
      </c>
      <c r="C44" s="37" t="s">
        <v>66</v>
      </c>
    </row>
    <row r="45" spans="2:3">
      <c r="B45" s="38" t="s">
        <v>67</v>
      </c>
      <c r="C45" s="27" t="s">
        <v>68</v>
      </c>
    </row>
    <row r="46" spans="2:3">
      <c r="B46" s="39" t="s">
        <v>69</v>
      </c>
      <c r="C46" s="27" t="s">
        <v>70</v>
      </c>
    </row>
    <row r="47" spans="2:3">
      <c r="B47" s="40" t="s">
        <v>53</v>
      </c>
      <c r="C47" s="27" t="s">
        <v>71</v>
      </c>
    </row>
    <row r="48" spans="2:3">
      <c r="B48" s="41" t="s">
        <v>72</v>
      </c>
      <c r="C48" s="27" t="s">
        <v>73</v>
      </c>
    </row>
    <row r="49" spans="2:3" ht="13.5" thickBot="1">
      <c r="B49" s="42" t="s">
        <v>74</v>
      </c>
      <c r="C49" s="29" t="s">
        <v>75</v>
      </c>
    </row>
  </sheetData>
  <conditionalFormatting sqref="B48:B49">
    <cfRule type="cellIs" dxfId="35" priority="1" operator="equal">
      <formula>"N/A"</formula>
    </cfRule>
    <cfRule type="cellIs" dxfId="34" priority="2" operator="equal">
      <formula>"Optional"</formula>
    </cfRule>
    <cfRule type="cellIs" dxfId="33" priority="3" operator="equal">
      <formula>"Mandatory"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5DB6-1402-4C89-A37D-665B05CE48D5}">
  <dimension ref="B1:Y65"/>
  <sheetViews>
    <sheetView tabSelected="1" topLeftCell="A12" zoomScale="70" zoomScaleNormal="70" workbookViewId="0">
      <selection activeCell="E16" sqref="E16"/>
    </sheetView>
  </sheetViews>
  <sheetFormatPr defaultRowHeight="14.45"/>
  <cols>
    <col min="1" max="1" width="1.5703125" customWidth="1"/>
    <col min="2" max="2" width="8.42578125" customWidth="1"/>
    <col min="3" max="3" width="17.140625" bestFit="1" customWidth="1"/>
    <col min="4" max="4" width="22.42578125" customWidth="1"/>
    <col min="5" max="5" width="21.42578125" bestFit="1" customWidth="1"/>
    <col min="6" max="6" width="13.140625" bestFit="1" customWidth="1"/>
    <col min="7" max="7" width="11.42578125" bestFit="1" customWidth="1"/>
    <col min="8" max="8" width="22.140625" customWidth="1"/>
    <col min="9" max="9" width="6" hidden="1" customWidth="1"/>
    <col min="10" max="10" width="8.140625" hidden="1" customWidth="1"/>
    <col min="11" max="11" width="13.7109375" hidden="1" customWidth="1"/>
    <col min="12" max="12" width="14.5703125" hidden="1" customWidth="1"/>
    <col min="13" max="13" width="19.28515625" customWidth="1"/>
    <col min="14" max="14" width="15.5703125" customWidth="1"/>
    <col min="15" max="15" width="7.5703125" hidden="1" customWidth="1"/>
    <col min="16" max="16" width="0.85546875" hidden="1" customWidth="1"/>
    <col min="17" max="17" width="16.42578125" customWidth="1"/>
    <col min="18" max="18" width="13.28515625" customWidth="1"/>
    <col min="19" max="19" width="18.7109375" bestFit="1" customWidth="1"/>
    <col min="20" max="21" width="19.5703125" customWidth="1"/>
    <col min="22" max="23" width="19.140625" customWidth="1"/>
    <col min="24" max="24" width="9" customWidth="1"/>
    <col min="25" max="25" width="37.85546875" customWidth="1"/>
  </cols>
  <sheetData>
    <row r="1" spans="2:25" s="1" customFormat="1" ht="12">
      <c r="C1" s="2">
        <f>SUBTOTAL(3,Table1464[Data point groups])</f>
        <v>51</v>
      </c>
      <c r="D1" s="2">
        <f>SUBTOTAL(3,Table1464[Data points])</f>
        <v>51</v>
      </c>
      <c r="E1" s="2">
        <f>SUBTOTAL(3,Table1464[Parameter Description])</f>
        <v>51</v>
      </c>
      <c r="F1" s="2">
        <f>SUBTOTAL(3,Table1464[Custodian])</f>
        <v>51</v>
      </c>
      <c r="G1" s="2">
        <f>SUBTOTAL(3,Table1464[Dig-site])</f>
        <v>51</v>
      </c>
      <c r="H1" s="2">
        <f>SUBTOTAL(3,Table1464[Foundation Critical / Foundation Recommended / Advanced Insights])</f>
        <v>51</v>
      </c>
      <c r="I1" s="2">
        <f>SUBTOTAL(3,Table1464[Baseline / Enhanced?])</f>
        <v>51</v>
      </c>
      <c r="J1" s="2">
        <f>SUBTOTAL(3,Table1464[Input Format])</f>
        <v>51</v>
      </c>
      <c r="K1" s="2">
        <f>SUBTOTAL(3,Table1464[Allowed Values / Code List])</f>
        <v>51</v>
      </c>
      <c r="L1" s="2">
        <f>SUBTOTAL(3,Table1464[Quality Rules / Validation])</f>
        <v>51</v>
      </c>
      <c r="M1" s="2">
        <f>SUBTOTAL(3,Table1464[Input Format + Validation])</f>
        <v>51</v>
      </c>
      <c r="N1" s="2">
        <f>SUBTOTAL(3,Table1464[Example])</f>
        <v>51</v>
      </c>
      <c r="O1" s="2">
        <f>SUBTOTAL(3,Table1464[Granularity (Grain)])</f>
        <v>45</v>
      </c>
      <c r="P1" s="2">
        <f>SUBTOTAL(3,Table1464[Time Dimension])</f>
        <v>46</v>
      </c>
      <c r="Q1" s="2">
        <f>SUBTOTAL(3,Table1464[Mandatory for KPI calculation?])</f>
        <v>51</v>
      </c>
      <c r="R1" s="2">
        <f>SUBTOTAL(3,Table1464[Yield Optimizer Produce Driver])</f>
        <v>51</v>
      </c>
      <c r="S1" s="2">
        <f>SUBTOTAL(3,Table1464[Satellite Monitoring])</f>
        <v>51</v>
      </c>
      <c r="T1" s="2">
        <f>SUBTOTAL(3,Table1464[Source System (SAP)])</f>
        <v>46</v>
      </c>
      <c r="U1" s="2">
        <f>SUBTOTAL(3,Table1464[Source Table (SAP)])</f>
        <v>46</v>
      </c>
    </row>
    <row r="2" spans="2:25" s="1" customFormat="1" ht="48" customHeight="1">
      <c r="B2" s="3" t="s">
        <v>76</v>
      </c>
      <c r="C2" s="4" t="s">
        <v>2</v>
      </c>
      <c r="D2" s="3" t="s">
        <v>4</v>
      </c>
      <c r="E2" s="3" t="s">
        <v>6</v>
      </c>
      <c r="F2" s="5" t="s">
        <v>8</v>
      </c>
      <c r="G2" s="6" t="s">
        <v>10</v>
      </c>
      <c r="H2" s="3" t="s">
        <v>77</v>
      </c>
      <c r="I2" s="3" t="s">
        <v>14</v>
      </c>
      <c r="J2" s="3" t="s">
        <v>16</v>
      </c>
      <c r="K2" s="3" t="s">
        <v>18</v>
      </c>
      <c r="L2" s="3" t="s">
        <v>20</v>
      </c>
      <c r="M2" s="5" t="s">
        <v>78</v>
      </c>
      <c r="N2" s="5" t="s">
        <v>26</v>
      </c>
      <c r="O2" s="3" t="s">
        <v>22</v>
      </c>
      <c r="P2" s="3" t="s">
        <v>24</v>
      </c>
      <c r="Q2" s="3" t="s">
        <v>79</v>
      </c>
      <c r="R2" s="5" t="s">
        <v>28</v>
      </c>
      <c r="S2" s="5" t="s">
        <v>80</v>
      </c>
      <c r="T2" s="3" t="s">
        <v>32</v>
      </c>
      <c r="U2" s="3" t="s">
        <v>34</v>
      </c>
      <c r="V2" s="3" t="s">
        <v>81</v>
      </c>
      <c r="W2" s="3" t="s">
        <v>82</v>
      </c>
      <c r="X2" s="7"/>
    </row>
    <row r="3" spans="2:25" s="1" customFormat="1" ht="48" customHeight="1">
      <c r="B3" s="8">
        <v>1</v>
      </c>
      <c r="C3" s="8" t="s">
        <v>39</v>
      </c>
      <c r="D3" s="8" t="s">
        <v>83</v>
      </c>
      <c r="E3" s="8" t="s">
        <v>84</v>
      </c>
      <c r="F3" s="8" t="s">
        <v>85</v>
      </c>
      <c r="G3" s="8" t="s">
        <v>86</v>
      </c>
      <c r="H3" s="9" t="s">
        <v>65</v>
      </c>
      <c r="I3" s="8" t="s">
        <v>87</v>
      </c>
      <c r="J3" s="8" t="s">
        <v>88</v>
      </c>
      <c r="K3" s="8" t="s">
        <v>89</v>
      </c>
      <c r="L3" s="8" t="s">
        <v>90</v>
      </c>
      <c r="M3" s="8" t="s">
        <v>91</v>
      </c>
      <c r="N3" s="8" t="s">
        <v>92</v>
      </c>
      <c r="O3" s="8"/>
      <c r="P3" s="5" t="s">
        <v>24</v>
      </c>
      <c r="Q3" s="5" t="str">
        <f>IF([1]!Table1464[[#This Row],[Foundation Critical / Foundation Recommended / Advanced Insights]]="Foundation Critical","Mandatory","Optional")</f>
        <v>Mandatory</v>
      </c>
      <c r="R3" s="5" t="s">
        <v>72</v>
      </c>
      <c r="S3" s="8" t="s">
        <v>93</v>
      </c>
      <c r="T3" s="8" t="s">
        <v>94</v>
      </c>
      <c r="U3" s="10" t="s">
        <v>95</v>
      </c>
      <c r="V3" s="10"/>
      <c r="W3" s="10"/>
      <c r="X3" s="11"/>
    </row>
    <row r="4" spans="2:25" ht="48" customHeight="1">
      <c r="B4" s="8">
        <v>2</v>
      </c>
      <c r="C4" s="8" t="s">
        <v>39</v>
      </c>
      <c r="D4" s="8" t="s">
        <v>96</v>
      </c>
      <c r="E4" s="8" t="s">
        <v>97</v>
      </c>
      <c r="F4" s="8" t="s">
        <v>85</v>
      </c>
      <c r="G4" s="8" t="s">
        <v>86</v>
      </c>
      <c r="H4" s="9" t="s">
        <v>65</v>
      </c>
      <c r="I4" s="8" t="s">
        <v>87</v>
      </c>
      <c r="J4" s="8" t="s">
        <v>88</v>
      </c>
      <c r="K4" s="8" t="s">
        <v>98</v>
      </c>
      <c r="L4" s="8" t="s">
        <v>99</v>
      </c>
      <c r="M4" s="8" t="s">
        <v>100</v>
      </c>
      <c r="N4" s="8" t="s">
        <v>101</v>
      </c>
      <c r="O4" s="8" t="s">
        <v>102</v>
      </c>
      <c r="P4" s="5" t="s">
        <v>103</v>
      </c>
      <c r="Q4" s="5" t="str">
        <f>IF([1]!Table1464[[#This Row],[Foundation Critical / Foundation Recommended / Advanced Insights]]="Foundation Critical","Mandatory","Optional")</f>
        <v>Mandatory</v>
      </c>
      <c r="R4" s="5" t="s">
        <v>72</v>
      </c>
      <c r="S4" s="8" t="s">
        <v>93</v>
      </c>
      <c r="T4" s="8" t="s">
        <v>104</v>
      </c>
      <c r="U4" s="12" t="s">
        <v>105</v>
      </c>
      <c r="V4" s="12"/>
      <c r="W4" s="12"/>
      <c r="X4" s="11"/>
    </row>
    <row r="5" spans="2:25" ht="48" customHeight="1">
      <c r="B5" s="8">
        <v>3</v>
      </c>
      <c r="C5" s="8" t="s">
        <v>37</v>
      </c>
      <c r="D5" s="13" t="s">
        <v>106</v>
      </c>
      <c r="E5" s="8" t="s">
        <v>107</v>
      </c>
      <c r="F5" s="8" t="s">
        <v>85</v>
      </c>
      <c r="G5" s="8" t="s">
        <v>86</v>
      </c>
      <c r="H5" s="9" t="s">
        <v>65</v>
      </c>
      <c r="I5" s="8" t="s">
        <v>87</v>
      </c>
      <c r="J5" s="8" t="s">
        <v>108</v>
      </c>
      <c r="K5" s="8" t="s">
        <v>109</v>
      </c>
      <c r="L5" s="8" t="s">
        <v>110</v>
      </c>
      <c r="M5" s="8" t="s">
        <v>111</v>
      </c>
      <c r="N5" s="8" t="s">
        <v>112</v>
      </c>
      <c r="O5" s="8" t="s">
        <v>113</v>
      </c>
      <c r="P5" s="5" t="s">
        <v>103</v>
      </c>
      <c r="Q5" s="5" t="str">
        <f>IF([1]!Table1464[[#This Row],[Foundation Critical / Foundation Recommended / Advanced Insights]]="Foundation Critical","Mandatory","Optional")</f>
        <v>Mandatory</v>
      </c>
      <c r="R5" s="5" t="s">
        <v>93</v>
      </c>
      <c r="S5" s="8" t="s">
        <v>93</v>
      </c>
      <c r="T5" s="8" t="s">
        <v>114</v>
      </c>
      <c r="U5" s="12" t="s">
        <v>115</v>
      </c>
      <c r="V5" s="12"/>
      <c r="W5" s="12"/>
      <c r="X5" s="11"/>
    </row>
    <row r="6" spans="2:25" ht="48" customHeight="1">
      <c r="B6" s="8">
        <v>4</v>
      </c>
      <c r="C6" s="8" t="s">
        <v>37</v>
      </c>
      <c r="D6" s="8" t="s">
        <v>116</v>
      </c>
      <c r="E6" s="8" t="s">
        <v>117</v>
      </c>
      <c r="F6" s="8" t="s">
        <v>85</v>
      </c>
      <c r="G6" s="8" t="s">
        <v>118</v>
      </c>
      <c r="H6" s="9" t="s">
        <v>65</v>
      </c>
      <c r="I6" s="8" t="s">
        <v>87</v>
      </c>
      <c r="J6" s="8" t="s">
        <v>88</v>
      </c>
      <c r="K6" s="8" t="s">
        <v>119</v>
      </c>
      <c r="L6" s="8" t="s">
        <v>90</v>
      </c>
      <c r="M6" s="8" t="s">
        <v>120</v>
      </c>
      <c r="N6" s="8" t="s">
        <v>121</v>
      </c>
      <c r="O6" s="8" t="s">
        <v>113</v>
      </c>
      <c r="P6" s="5" t="s">
        <v>103</v>
      </c>
      <c r="Q6" s="5" t="str">
        <f>IF([1]!Table1464[[#This Row],[Foundation Critical / Foundation Recommended / Advanced Insights]]="Foundation Critical","Mandatory","Optional")</f>
        <v>Mandatory</v>
      </c>
      <c r="R6" s="5" t="s">
        <v>93</v>
      </c>
      <c r="S6" s="8" t="s">
        <v>93</v>
      </c>
      <c r="T6" s="8" t="s">
        <v>114</v>
      </c>
      <c r="U6" s="12" t="s">
        <v>122</v>
      </c>
      <c r="V6" s="12"/>
      <c r="W6" s="12"/>
      <c r="X6" s="11"/>
      <c r="Y6" s="1"/>
    </row>
    <row r="7" spans="2:25" ht="48" customHeight="1">
      <c r="B7" s="8">
        <v>5</v>
      </c>
      <c r="C7" s="8" t="s">
        <v>37</v>
      </c>
      <c r="D7" s="8" t="s">
        <v>123</v>
      </c>
      <c r="E7" s="8" t="s">
        <v>124</v>
      </c>
      <c r="F7" s="8" t="s">
        <v>85</v>
      </c>
      <c r="G7" s="8" t="s">
        <v>118</v>
      </c>
      <c r="H7" s="9" t="s">
        <v>65</v>
      </c>
      <c r="I7" s="8" t="s">
        <v>87</v>
      </c>
      <c r="J7" s="8" t="s">
        <v>88</v>
      </c>
      <c r="K7" s="8" t="s">
        <v>89</v>
      </c>
      <c r="L7" s="8" t="s">
        <v>90</v>
      </c>
      <c r="M7" s="8" t="s">
        <v>91</v>
      </c>
      <c r="N7" s="8" t="s">
        <v>121</v>
      </c>
      <c r="O7" s="8" t="s">
        <v>125</v>
      </c>
      <c r="P7" s="5" t="s">
        <v>103</v>
      </c>
      <c r="Q7" s="5" t="str">
        <f>IF([1]!Table1464[[#This Row],[Foundation Critical / Foundation Recommended / Advanced Insights]]="Foundation Critical","Mandatory","Optional")</f>
        <v>Mandatory</v>
      </c>
      <c r="R7" s="5" t="s">
        <v>72</v>
      </c>
      <c r="S7" s="8" t="s">
        <v>93</v>
      </c>
      <c r="T7" s="8" t="s">
        <v>126</v>
      </c>
      <c r="U7" s="12" t="s">
        <v>127</v>
      </c>
      <c r="V7" s="12"/>
      <c r="W7" s="12"/>
      <c r="X7" s="11"/>
      <c r="Y7" s="1"/>
    </row>
    <row r="8" spans="2:25" ht="48" customHeight="1">
      <c r="B8" s="8">
        <v>6</v>
      </c>
      <c r="C8" s="8" t="s">
        <v>37</v>
      </c>
      <c r="D8" s="8" t="s">
        <v>128</v>
      </c>
      <c r="E8" s="8" t="s">
        <v>129</v>
      </c>
      <c r="F8" s="8" t="s">
        <v>85</v>
      </c>
      <c r="G8" s="8" t="s">
        <v>86</v>
      </c>
      <c r="H8" s="9" t="s">
        <v>65</v>
      </c>
      <c r="I8" s="8" t="s">
        <v>87</v>
      </c>
      <c r="J8" s="8" t="s">
        <v>130</v>
      </c>
      <c r="K8" s="8" t="s">
        <v>131</v>
      </c>
      <c r="L8" s="8" t="s">
        <v>132</v>
      </c>
      <c r="M8" s="8" t="s">
        <v>133</v>
      </c>
      <c r="N8" s="8" t="s">
        <v>134</v>
      </c>
      <c r="O8" s="8" t="s">
        <v>113</v>
      </c>
      <c r="P8" s="5" t="s">
        <v>103</v>
      </c>
      <c r="Q8" s="5" t="str">
        <f>IF([1]!Table1464[[#This Row],[Foundation Critical / Foundation Recommended / Advanced Insights]]="Foundation Critical","Mandatory","Optional")</f>
        <v>Mandatory</v>
      </c>
      <c r="R8" s="5" t="s">
        <v>93</v>
      </c>
      <c r="S8" s="8" t="s">
        <v>93</v>
      </c>
      <c r="T8" s="8" t="s">
        <v>126</v>
      </c>
      <c r="U8" s="12" t="s">
        <v>135</v>
      </c>
      <c r="V8" s="12"/>
      <c r="W8" s="12"/>
      <c r="X8" s="11"/>
    </row>
    <row r="9" spans="2:25" ht="48" customHeight="1">
      <c r="B9" s="8">
        <v>7</v>
      </c>
      <c r="C9" s="8" t="s">
        <v>39</v>
      </c>
      <c r="D9" s="8" t="s">
        <v>136</v>
      </c>
      <c r="E9" s="8" t="s">
        <v>137</v>
      </c>
      <c r="F9" s="8" t="s">
        <v>85</v>
      </c>
      <c r="G9" s="8" t="s">
        <v>86</v>
      </c>
      <c r="H9" s="9" t="s">
        <v>65</v>
      </c>
      <c r="I9" s="8" t="s">
        <v>87</v>
      </c>
      <c r="J9" s="8" t="s">
        <v>138</v>
      </c>
      <c r="K9" s="8" t="s">
        <v>139</v>
      </c>
      <c r="L9" s="8" t="s">
        <v>140</v>
      </c>
      <c r="M9" s="8" t="s">
        <v>141</v>
      </c>
      <c r="N9" s="8" t="s">
        <v>142</v>
      </c>
      <c r="O9" s="8" t="s">
        <v>46</v>
      </c>
      <c r="P9" s="5" t="s">
        <v>143</v>
      </c>
      <c r="Q9" s="5" t="str">
        <f>IF([1]!Table1464[[#This Row],[Foundation Critical / Foundation Recommended / Advanced Insights]]="Foundation Critical","Mandatory","Optional")</f>
        <v>Mandatory</v>
      </c>
      <c r="R9" s="5" t="s">
        <v>72</v>
      </c>
      <c r="S9" s="8" t="s">
        <v>72</v>
      </c>
      <c r="T9" s="8" t="s">
        <v>126</v>
      </c>
      <c r="U9" s="12" t="s">
        <v>144</v>
      </c>
      <c r="V9" s="12"/>
      <c r="W9" s="12"/>
      <c r="X9" s="11"/>
    </row>
    <row r="10" spans="2:25" ht="48" customHeight="1">
      <c r="B10" s="8">
        <v>8</v>
      </c>
      <c r="C10" s="8" t="s">
        <v>37</v>
      </c>
      <c r="D10" s="8" t="s">
        <v>145</v>
      </c>
      <c r="E10" s="8" t="s">
        <v>146</v>
      </c>
      <c r="F10" s="8" t="s">
        <v>85</v>
      </c>
      <c r="G10" s="8" t="s">
        <v>86</v>
      </c>
      <c r="H10" s="14" t="s">
        <v>67</v>
      </c>
      <c r="I10" s="8" t="s">
        <v>87</v>
      </c>
      <c r="J10" s="8" t="s">
        <v>88</v>
      </c>
      <c r="K10" s="8" t="s">
        <v>147</v>
      </c>
      <c r="L10" s="8" t="s">
        <v>90</v>
      </c>
      <c r="M10" s="8" t="s">
        <v>148</v>
      </c>
      <c r="N10" s="8" t="s">
        <v>149</v>
      </c>
      <c r="O10" s="8" t="s">
        <v>106</v>
      </c>
      <c r="P10" s="5" t="s">
        <v>103</v>
      </c>
      <c r="Q10" s="5" t="str">
        <f>IF([1]!Table1464[[#This Row],[Foundation Critical / Foundation Recommended / Advanced Insights]]="Foundation Critical","Mandatory","Optional")</f>
        <v>Optional</v>
      </c>
      <c r="R10" s="5" t="s">
        <v>74</v>
      </c>
      <c r="S10" s="8" t="s">
        <v>93</v>
      </c>
      <c r="T10" s="8" t="s">
        <v>114</v>
      </c>
      <c r="U10" s="12" t="s">
        <v>150</v>
      </c>
      <c r="V10" s="12"/>
      <c r="W10" s="12"/>
      <c r="X10" s="11"/>
    </row>
    <row r="11" spans="2:25" ht="48" customHeight="1">
      <c r="B11" s="8">
        <v>9</v>
      </c>
      <c r="C11" s="8" t="s">
        <v>37</v>
      </c>
      <c r="D11" s="8" t="s">
        <v>151</v>
      </c>
      <c r="E11" s="8" t="s">
        <v>152</v>
      </c>
      <c r="F11" s="8" t="s">
        <v>85</v>
      </c>
      <c r="G11" s="8" t="s">
        <v>118</v>
      </c>
      <c r="H11" s="14" t="s">
        <v>67</v>
      </c>
      <c r="I11" s="15" t="s">
        <v>87</v>
      </c>
      <c r="J11" s="15" t="s">
        <v>153</v>
      </c>
      <c r="K11" s="8" t="s">
        <v>154</v>
      </c>
      <c r="L11" s="8" t="s">
        <v>155</v>
      </c>
      <c r="M11" s="8" t="s">
        <v>156</v>
      </c>
      <c r="N11" s="8" t="s">
        <v>157</v>
      </c>
      <c r="O11" s="8" t="s">
        <v>158</v>
      </c>
      <c r="P11" s="5" t="s">
        <v>103</v>
      </c>
      <c r="Q11" s="5" t="str">
        <f>IF([1]!Table1464[[#This Row],[Foundation Critical / Foundation Recommended / Advanced Insights]]="Foundation Critical","Mandatory","Optional")</f>
        <v>Optional</v>
      </c>
      <c r="R11" s="5" t="s">
        <v>93</v>
      </c>
      <c r="S11" s="8" t="s">
        <v>93</v>
      </c>
      <c r="T11" s="8" t="s">
        <v>114</v>
      </c>
      <c r="U11" s="12" t="s">
        <v>122</v>
      </c>
      <c r="V11" s="12"/>
      <c r="W11" s="12"/>
      <c r="X11" s="11"/>
    </row>
    <row r="12" spans="2:25" ht="48" customHeight="1">
      <c r="B12" s="8">
        <v>10</v>
      </c>
      <c r="C12" s="8" t="s">
        <v>58</v>
      </c>
      <c r="D12" s="8" t="s">
        <v>159</v>
      </c>
      <c r="E12" s="8" t="s">
        <v>160</v>
      </c>
      <c r="F12" s="8" t="s">
        <v>85</v>
      </c>
      <c r="G12" s="8" t="s">
        <v>161</v>
      </c>
      <c r="H12" s="14" t="s">
        <v>67</v>
      </c>
      <c r="I12" s="8" t="s">
        <v>87</v>
      </c>
      <c r="J12" s="8" t="s">
        <v>88</v>
      </c>
      <c r="K12" s="8" t="s">
        <v>162</v>
      </c>
      <c r="L12" s="8" t="s">
        <v>163</v>
      </c>
      <c r="M12" s="16" t="s">
        <v>164</v>
      </c>
      <c r="N12" s="8" t="s">
        <v>165</v>
      </c>
      <c r="O12" s="8" t="s">
        <v>166</v>
      </c>
      <c r="P12" s="5" t="s">
        <v>167</v>
      </c>
      <c r="Q12" s="5" t="str">
        <f>IF([1]!Table1464[[#This Row],[Foundation Critical / Foundation Recommended / Advanced Insights]]="Foundation Critical","Mandatory","Optional")</f>
        <v>Optional</v>
      </c>
      <c r="R12" s="5" t="s">
        <v>93</v>
      </c>
      <c r="S12" s="8" t="s">
        <v>93</v>
      </c>
      <c r="T12" s="8" t="s">
        <v>168</v>
      </c>
      <c r="U12" s="12" t="s">
        <v>169</v>
      </c>
      <c r="V12" s="12"/>
      <c r="W12" s="12"/>
      <c r="X12" s="11"/>
    </row>
    <row r="13" spans="2:25" ht="48" customHeight="1">
      <c r="B13" s="8">
        <v>11</v>
      </c>
      <c r="C13" s="8" t="s">
        <v>58</v>
      </c>
      <c r="D13" s="8" t="s">
        <v>170</v>
      </c>
      <c r="E13" s="8" t="s">
        <v>171</v>
      </c>
      <c r="F13" s="8" t="s">
        <v>85</v>
      </c>
      <c r="G13" s="8" t="s">
        <v>161</v>
      </c>
      <c r="H13" s="14" t="s">
        <v>67</v>
      </c>
      <c r="I13" s="8" t="s">
        <v>87</v>
      </c>
      <c r="J13" s="8" t="s">
        <v>88</v>
      </c>
      <c r="K13" s="8" t="s">
        <v>89</v>
      </c>
      <c r="L13" s="8" t="s">
        <v>172</v>
      </c>
      <c r="M13" s="17" t="s">
        <v>173</v>
      </c>
      <c r="N13" s="8" t="s">
        <v>165</v>
      </c>
      <c r="O13" s="8" t="s">
        <v>166</v>
      </c>
      <c r="P13" s="5" t="s">
        <v>167</v>
      </c>
      <c r="Q13" s="5" t="str">
        <f>IF([1]!Table1464[[#This Row],[Foundation Critical / Foundation Recommended / Advanced Insights]]="Foundation Critical","Mandatory","Optional")</f>
        <v>Optional</v>
      </c>
      <c r="R13" s="5" t="s">
        <v>93</v>
      </c>
      <c r="S13" s="8" t="s">
        <v>93</v>
      </c>
      <c r="T13" s="8" t="s">
        <v>168</v>
      </c>
      <c r="U13" s="12" t="s">
        <v>169</v>
      </c>
      <c r="V13" s="12"/>
      <c r="W13" s="12"/>
      <c r="X13" s="11"/>
    </row>
    <row r="14" spans="2:25" ht="48" customHeight="1">
      <c r="B14" s="8">
        <v>12</v>
      </c>
      <c r="C14" s="8" t="s">
        <v>58</v>
      </c>
      <c r="D14" s="8" t="s">
        <v>174</v>
      </c>
      <c r="E14" s="8" t="s">
        <v>175</v>
      </c>
      <c r="F14" s="8" t="s">
        <v>85</v>
      </c>
      <c r="G14" s="8" t="s">
        <v>86</v>
      </c>
      <c r="H14" s="14" t="s">
        <v>67</v>
      </c>
      <c r="I14" s="8" t="s">
        <v>87</v>
      </c>
      <c r="J14" s="8" t="s">
        <v>176</v>
      </c>
      <c r="K14" s="8" t="s">
        <v>177</v>
      </c>
      <c r="L14" s="8" t="s">
        <v>178</v>
      </c>
      <c r="M14" s="8" t="s">
        <v>179</v>
      </c>
      <c r="N14" s="8" t="s">
        <v>180</v>
      </c>
      <c r="O14" s="8" t="s">
        <v>181</v>
      </c>
      <c r="P14" s="5" t="s">
        <v>143</v>
      </c>
      <c r="Q14" s="5" t="str">
        <f>IF([1]!Table1464[[#This Row],[Foundation Critical / Foundation Recommended / Advanced Insights]]="Foundation Critical","Mandatory","Optional")</f>
        <v>Optional</v>
      </c>
      <c r="R14" s="5" t="s">
        <v>93</v>
      </c>
      <c r="S14" s="8" t="s">
        <v>93</v>
      </c>
      <c r="T14" s="8" t="s">
        <v>126</v>
      </c>
      <c r="U14" s="12" t="s">
        <v>182</v>
      </c>
      <c r="V14" s="12"/>
      <c r="W14" s="12"/>
      <c r="X14" s="11"/>
    </row>
    <row r="15" spans="2:25" ht="48" customHeight="1">
      <c r="B15" s="8">
        <v>13</v>
      </c>
      <c r="C15" s="8" t="s">
        <v>52</v>
      </c>
      <c r="D15" s="13" t="s">
        <v>183</v>
      </c>
      <c r="E15" s="8" t="s">
        <v>184</v>
      </c>
      <c r="F15" s="8" t="s">
        <v>85</v>
      </c>
      <c r="G15" s="8" t="s">
        <v>86</v>
      </c>
      <c r="H15" s="18" t="s">
        <v>185</v>
      </c>
      <c r="I15" s="8" t="s">
        <v>186</v>
      </c>
      <c r="J15" s="8" t="s">
        <v>88</v>
      </c>
      <c r="K15" s="8" t="s">
        <v>187</v>
      </c>
      <c r="L15" s="8" t="s">
        <v>188</v>
      </c>
      <c r="M15" s="8" t="s">
        <v>189</v>
      </c>
      <c r="N15" s="8" t="s">
        <v>165</v>
      </c>
      <c r="O15" s="8" t="s">
        <v>181</v>
      </c>
      <c r="P15" s="5" t="s">
        <v>143</v>
      </c>
      <c r="Q15" s="5" t="str">
        <f>IF([1]!Table1464[[#This Row],[Foundation Critical / Foundation Recommended / Advanced Insights]]="Foundation Critical","Mandatory","Optional")</f>
        <v>Optional</v>
      </c>
      <c r="R15" s="5" t="s">
        <v>93</v>
      </c>
      <c r="S15" s="8" t="s">
        <v>93</v>
      </c>
      <c r="T15" s="8" t="s">
        <v>126</v>
      </c>
      <c r="U15" s="8" t="s">
        <v>190</v>
      </c>
      <c r="V15" s="12"/>
      <c r="W15" s="12"/>
      <c r="X15" s="11"/>
    </row>
    <row r="16" spans="2:25" ht="48" customHeight="1">
      <c r="B16" s="8">
        <v>14</v>
      </c>
      <c r="C16" s="8" t="s">
        <v>52</v>
      </c>
      <c r="D16" s="13" t="s">
        <v>191</v>
      </c>
      <c r="E16" s="8" t="s">
        <v>192</v>
      </c>
      <c r="F16" s="8" t="s">
        <v>85</v>
      </c>
      <c r="G16" s="8" t="s">
        <v>86</v>
      </c>
      <c r="H16" s="18" t="s">
        <v>185</v>
      </c>
      <c r="I16" s="8" t="s">
        <v>186</v>
      </c>
      <c r="J16" s="8" t="s">
        <v>193</v>
      </c>
      <c r="K16" s="19" t="s">
        <v>194</v>
      </c>
      <c r="L16" s="8" t="s">
        <v>178</v>
      </c>
      <c r="M16" s="8" t="s">
        <v>195</v>
      </c>
      <c r="N16" s="8" t="s">
        <v>196</v>
      </c>
      <c r="O16" s="8" t="s">
        <v>181</v>
      </c>
      <c r="P16" s="5" t="s">
        <v>143</v>
      </c>
      <c r="Q16" s="5" t="str">
        <f>IF([1]!Table1464[[#This Row],[Foundation Critical / Foundation Recommended / Advanced Insights]]="Foundation Critical","Mandatory","Optional")</f>
        <v>Optional</v>
      </c>
      <c r="R16" s="5" t="s">
        <v>93</v>
      </c>
      <c r="S16" s="8" t="s">
        <v>93</v>
      </c>
      <c r="T16" s="8" t="s">
        <v>126</v>
      </c>
      <c r="U16" s="8" t="s">
        <v>190</v>
      </c>
      <c r="V16" s="12"/>
      <c r="W16" s="12"/>
      <c r="X16" s="11"/>
    </row>
    <row r="17" spans="2:24" ht="48" customHeight="1">
      <c r="B17" s="8">
        <v>15</v>
      </c>
      <c r="C17" s="8" t="s">
        <v>52</v>
      </c>
      <c r="D17" s="8" t="s">
        <v>197</v>
      </c>
      <c r="E17" s="8" t="s">
        <v>198</v>
      </c>
      <c r="F17" s="8" t="s">
        <v>85</v>
      </c>
      <c r="G17" s="8" t="s">
        <v>86</v>
      </c>
      <c r="H17" s="18" t="s">
        <v>185</v>
      </c>
      <c r="I17" s="8" t="s">
        <v>186</v>
      </c>
      <c r="J17" s="8" t="s">
        <v>88</v>
      </c>
      <c r="K17" s="8" t="s">
        <v>199</v>
      </c>
      <c r="L17" s="8" t="s">
        <v>90</v>
      </c>
      <c r="M17" s="8" t="s">
        <v>200</v>
      </c>
      <c r="N17" s="8" t="s">
        <v>165</v>
      </c>
      <c r="O17" s="8" t="s">
        <v>181</v>
      </c>
      <c r="P17" s="5" t="s">
        <v>143</v>
      </c>
      <c r="Q17" s="5" t="str">
        <f>IF([1]!Table1464[[#This Row],[Foundation Critical / Foundation Recommended / Advanced Insights]]="Foundation Critical","Mandatory","Optional")</f>
        <v>Optional</v>
      </c>
      <c r="R17" s="5" t="s">
        <v>93</v>
      </c>
      <c r="S17" s="8" t="s">
        <v>93</v>
      </c>
      <c r="T17" s="8" t="s">
        <v>126</v>
      </c>
      <c r="U17" s="8" t="s">
        <v>190</v>
      </c>
      <c r="V17" s="12"/>
      <c r="W17" s="12"/>
      <c r="X17" s="11"/>
    </row>
    <row r="18" spans="2:24" ht="48" customHeight="1">
      <c r="B18" s="8">
        <v>16</v>
      </c>
      <c r="C18" s="8" t="s">
        <v>52</v>
      </c>
      <c r="D18" s="8" t="s">
        <v>201</v>
      </c>
      <c r="E18" s="8" t="s">
        <v>202</v>
      </c>
      <c r="F18" s="8" t="s">
        <v>85</v>
      </c>
      <c r="G18" s="8" t="s">
        <v>86</v>
      </c>
      <c r="H18" s="18" t="s">
        <v>185</v>
      </c>
      <c r="I18" s="8" t="s">
        <v>186</v>
      </c>
      <c r="J18" s="8" t="s">
        <v>88</v>
      </c>
      <c r="K18" s="8" t="s">
        <v>203</v>
      </c>
      <c r="L18" s="8" t="s">
        <v>90</v>
      </c>
      <c r="M18" s="8" t="s">
        <v>204</v>
      </c>
      <c r="N18" s="8" t="s">
        <v>165</v>
      </c>
      <c r="O18" s="8" t="s">
        <v>181</v>
      </c>
      <c r="P18" s="5" t="s">
        <v>143</v>
      </c>
      <c r="Q18" s="5" t="str">
        <f>IF([1]!Table1464[[#This Row],[Foundation Critical / Foundation Recommended / Advanced Insights]]="Foundation Critical","Mandatory","Optional")</f>
        <v>Optional</v>
      </c>
      <c r="R18" s="5" t="s">
        <v>93</v>
      </c>
      <c r="S18" s="8" t="s">
        <v>93</v>
      </c>
      <c r="T18" s="8" t="s">
        <v>126</v>
      </c>
      <c r="U18" s="8" t="s">
        <v>190</v>
      </c>
      <c r="V18" s="12"/>
      <c r="W18" s="12"/>
      <c r="X18" s="11"/>
    </row>
    <row r="19" spans="2:24" ht="48" customHeight="1">
      <c r="B19" s="8">
        <v>17</v>
      </c>
      <c r="C19" s="8" t="s">
        <v>52</v>
      </c>
      <c r="D19" s="8" t="s">
        <v>205</v>
      </c>
      <c r="E19" s="8" t="s">
        <v>206</v>
      </c>
      <c r="F19" s="8" t="s">
        <v>85</v>
      </c>
      <c r="G19" s="8" t="s">
        <v>86</v>
      </c>
      <c r="H19" s="18" t="s">
        <v>185</v>
      </c>
      <c r="I19" s="8" t="s">
        <v>186</v>
      </c>
      <c r="J19" s="8" t="s">
        <v>207</v>
      </c>
      <c r="K19" s="8" t="s">
        <v>208</v>
      </c>
      <c r="L19" s="8" t="s">
        <v>209</v>
      </c>
      <c r="M19" s="8" t="s">
        <v>210</v>
      </c>
      <c r="N19" s="8">
        <v>25.21</v>
      </c>
      <c r="O19" s="8" t="s">
        <v>181</v>
      </c>
      <c r="P19" s="5" t="s">
        <v>143</v>
      </c>
      <c r="Q19" s="5" t="str">
        <f>IF([1]!Table1464[[#This Row],[Foundation Critical / Foundation Recommended / Advanced Insights]]="Foundation Critical","Mandatory","Optional")</f>
        <v>Optional</v>
      </c>
      <c r="R19" s="5" t="s">
        <v>93</v>
      </c>
      <c r="S19" s="8" t="s">
        <v>93</v>
      </c>
      <c r="T19" s="8" t="s">
        <v>126</v>
      </c>
      <c r="U19" s="8" t="s">
        <v>190</v>
      </c>
      <c r="V19" s="12"/>
      <c r="W19" s="12"/>
      <c r="X19" s="11"/>
    </row>
    <row r="20" spans="2:24" ht="48" customHeight="1">
      <c r="B20" s="8">
        <v>18</v>
      </c>
      <c r="C20" s="8" t="s">
        <v>52</v>
      </c>
      <c r="D20" s="13" t="s">
        <v>211</v>
      </c>
      <c r="E20" s="8" t="s">
        <v>212</v>
      </c>
      <c r="F20" s="8" t="s">
        <v>85</v>
      </c>
      <c r="G20" s="8" t="s">
        <v>86</v>
      </c>
      <c r="H20" s="18" t="s">
        <v>185</v>
      </c>
      <c r="I20" s="8" t="s">
        <v>186</v>
      </c>
      <c r="J20" s="8" t="s">
        <v>213</v>
      </c>
      <c r="K20" s="8" t="s">
        <v>208</v>
      </c>
      <c r="L20" s="8" t="s">
        <v>209</v>
      </c>
      <c r="M20" s="8" t="s">
        <v>214</v>
      </c>
      <c r="N20" s="8">
        <v>10.45</v>
      </c>
      <c r="O20" s="8" t="s">
        <v>181</v>
      </c>
      <c r="P20" s="5" t="s">
        <v>143</v>
      </c>
      <c r="Q20" s="5" t="str">
        <f>IF([1]!Table1464[[#This Row],[Foundation Critical / Foundation Recommended / Advanced Insights]]="Foundation Critical","Mandatory","Optional")</f>
        <v>Optional</v>
      </c>
      <c r="R20" s="5" t="s">
        <v>93</v>
      </c>
      <c r="S20" s="8" t="s">
        <v>93</v>
      </c>
      <c r="T20" s="8" t="s">
        <v>126</v>
      </c>
      <c r="U20" s="8" t="s">
        <v>190</v>
      </c>
      <c r="V20" s="12"/>
      <c r="W20" s="12"/>
      <c r="X20" s="11"/>
    </row>
    <row r="21" spans="2:24" ht="48" customHeight="1">
      <c r="B21" s="8">
        <v>19</v>
      </c>
      <c r="C21" s="8" t="s">
        <v>39</v>
      </c>
      <c r="D21" s="8" t="s">
        <v>215</v>
      </c>
      <c r="E21" s="8" t="s">
        <v>216</v>
      </c>
      <c r="F21" s="8" t="s">
        <v>85</v>
      </c>
      <c r="G21" s="8" t="s">
        <v>86</v>
      </c>
      <c r="H21" s="18" t="s">
        <v>185</v>
      </c>
      <c r="I21" s="8" t="s">
        <v>186</v>
      </c>
      <c r="J21" s="8" t="s">
        <v>88</v>
      </c>
      <c r="K21" s="8" t="s">
        <v>89</v>
      </c>
      <c r="L21" s="8" t="s">
        <v>90</v>
      </c>
      <c r="M21" s="8" t="s">
        <v>91</v>
      </c>
      <c r="N21" s="8" t="s">
        <v>165</v>
      </c>
      <c r="O21" s="8"/>
      <c r="P21" s="5"/>
      <c r="Q21" s="5" t="str">
        <f>IF([1]!Table1464[[#This Row],[Foundation Critical / Foundation Recommended / Advanced Insights]]="Foundation Critical","Mandatory","Optional")</f>
        <v>Optional</v>
      </c>
      <c r="R21" s="5" t="s">
        <v>93</v>
      </c>
      <c r="S21" s="8" t="s">
        <v>93</v>
      </c>
      <c r="T21" s="8"/>
      <c r="U21" s="8"/>
      <c r="V21" s="12"/>
      <c r="W21" s="12"/>
      <c r="X21" s="11"/>
    </row>
    <row r="22" spans="2:24" ht="48" customHeight="1">
      <c r="B22" s="8">
        <v>20</v>
      </c>
      <c r="C22" s="8" t="s">
        <v>39</v>
      </c>
      <c r="D22" s="8" t="s">
        <v>217</v>
      </c>
      <c r="E22" s="8" t="s">
        <v>218</v>
      </c>
      <c r="F22" s="8" t="s">
        <v>85</v>
      </c>
      <c r="G22" s="8" t="s">
        <v>86</v>
      </c>
      <c r="H22" s="18" t="s">
        <v>185</v>
      </c>
      <c r="I22" s="8" t="s">
        <v>186</v>
      </c>
      <c r="J22" s="8" t="s">
        <v>219</v>
      </c>
      <c r="K22" s="8" t="s">
        <v>220</v>
      </c>
      <c r="L22" s="8" t="s">
        <v>178</v>
      </c>
      <c r="M22" s="8" t="s">
        <v>221</v>
      </c>
      <c r="N22" s="8" t="s">
        <v>222</v>
      </c>
      <c r="O22" s="8" t="s">
        <v>181</v>
      </c>
      <c r="P22" s="5" t="s">
        <v>143</v>
      </c>
      <c r="Q22" s="5" t="str">
        <f>IF([1]!Table1464[[#This Row],[Foundation Critical / Foundation Recommended / Advanced Insights]]="Foundation Critical","Mandatory","Optional")</f>
        <v>Optional</v>
      </c>
      <c r="R22" s="5" t="s">
        <v>74</v>
      </c>
      <c r="S22" s="8" t="s">
        <v>93</v>
      </c>
      <c r="T22" s="8" t="s">
        <v>126</v>
      </c>
      <c r="U22" s="8" t="s">
        <v>223</v>
      </c>
      <c r="V22" s="12"/>
      <c r="W22" s="12"/>
      <c r="X22" s="11"/>
    </row>
    <row r="23" spans="2:24" ht="48" customHeight="1">
      <c r="B23" s="8">
        <v>21</v>
      </c>
      <c r="C23" s="8" t="s">
        <v>50</v>
      </c>
      <c r="D23" s="8" t="s">
        <v>224</v>
      </c>
      <c r="E23" s="8" t="s">
        <v>225</v>
      </c>
      <c r="F23" s="8" t="s">
        <v>85</v>
      </c>
      <c r="G23" s="8" t="s">
        <v>86</v>
      </c>
      <c r="H23" s="18" t="s">
        <v>185</v>
      </c>
      <c r="I23" s="8" t="s">
        <v>186</v>
      </c>
      <c r="J23" s="8" t="s">
        <v>213</v>
      </c>
      <c r="K23" s="8" t="s">
        <v>208</v>
      </c>
      <c r="L23" s="8" t="s">
        <v>226</v>
      </c>
      <c r="M23" s="8" t="s">
        <v>227</v>
      </c>
      <c r="N23" s="8">
        <v>25.21</v>
      </c>
      <c r="O23" s="8" t="s">
        <v>181</v>
      </c>
      <c r="P23" s="5" t="s">
        <v>143</v>
      </c>
      <c r="Q23" s="5" t="str">
        <f>IF([1]!Table1464[[#This Row],[Foundation Critical / Foundation Recommended / Advanced Insights]]="Foundation Critical","Mandatory","Optional")</f>
        <v>Optional</v>
      </c>
      <c r="R23" s="5" t="s">
        <v>93</v>
      </c>
      <c r="S23" s="8" t="s">
        <v>93</v>
      </c>
      <c r="T23" s="8" t="s">
        <v>126</v>
      </c>
      <c r="U23" s="8" t="s">
        <v>182</v>
      </c>
      <c r="V23" s="12"/>
      <c r="W23" s="12"/>
      <c r="X23" s="11"/>
    </row>
    <row r="24" spans="2:24" ht="48" customHeight="1">
      <c r="B24" s="8">
        <v>22</v>
      </c>
      <c r="C24" s="8" t="s">
        <v>50</v>
      </c>
      <c r="D24" s="8" t="s">
        <v>228</v>
      </c>
      <c r="E24" s="8" t="s">
        <v>229</v>
      </c>
      <c r="F24" s="8" t="s">
        <v>85</v>
      </c>
      <c r="G24" s="8" t="s">
        <v>86</v>
      </c>
      <c r="H24" s="18" t="s">
        <v>185</v>
      </c>
      <c r="I24" s="8" t="s">
        <v>186</v>
      </c>
      <c r="J24" s="8" t="s">
        <v>230</v>
      </c>
      <c r="K24" s="8" t="s">
        <v>208</v>
      </c>
      <c r="L24" s="8" t="s">
        <v>226</v>
      </c>
      <c r="M24" s="8" t="s">
        <v>231</v>
      </c>
      <c r="N24" s="8">
        <v>25.21</v>
      </c>
      <c r="O24" s="8" t="s">
        <v>181</v>
      </c>
      <c r="P24" s="5" t="s">
        <v>143</v>
      </c>
      <c r="Q24" s="5" t="str">
        <f>IF([1]!Table1464[[#This Row],[Foundation Critical / Foundation Recommended / Advanced Insights]]="Foundation Critical","Mandatory","Optional")</f>
        <v>Optional</v>
      </c>
      <c r="R24" s="5" t="s">
        <v>72</v>
      </c>
      <c r="S24" s="8" t="s">
        <v>93</v>
      </c>
      <c r="T24" s="8" t="s">
        <v>126</v>
      </c>
      <c r="U24" s="8" t="s">
        <v>182</v>
      </c>
      <c r="V24" s="12"/>
      <c r="W24" s="12"/>
      <c r="X24" s="11"/>
    </row>
    <row r="25" spans="2:24" ht="48" customHeight="1">
      <c r="B25" s="8">
        <v>23</v>
      </c>
      <c r="C25" s="8" t="s">
        <v>50</v>
      </c>
      <c r="D25" s="8" t="s">
        <v>232</v>
      </c>
      <c r="E25" s="8" t="s">
        <v>233</v>
      </c>
      <c r="F25" s="8" t="s">
        <v>85</v>
      </c>
      <c r="G25" s="8" t="s">
        <v>86</v>
      </c>
      <c r="H25" s="18" t="s">
        <v>185</v>
      </c>
      <c r="I25" s="8" t="s">
        <v>186</v>
      </c>
      <c r="J25" s="8" t="s">
        <v>230</v>
      </c>
      <c r="K25" s="8" t="s">
        <v>208</v>
      </c>
      <c r="L25" s="8" t="s">
        <v>226</v>
      </c>
      <c r="M25" s="8" t="s">
        <v>231</v>
      </c>
      <c r="N25" s="8">
        <v>25.21</v>
      </c>
      <c r="O25" s="8" t="s">
        <v>181</v>
      </c>
      <c r="P25" s="5" t="s">
        <v>143</v>
      </c>
      <c r="Q25" s="5" t="str">
        <f>IF([1]!Table1464[[#This Row],[Foundation Critical / Foundation Recommended / Advanced Insights]]="Foundation Critical","Mandatory","Optional")</f>
        <v>Optional</v>
      </c>
      <c r="R25" s="5" t="s">
        <v>72</v>
      </c>
      <c r="S25" s="8" t="s">
        <v>93</v>
      </c>
      <c r="T25" s="8" t="s">
        <v>126</v>
      </c>
      <c r="U25" s="8" t="s">
        <v>182</v>
      </c>
      <c r="V25" s="12"/>
      <c r="W25" s="12"/>
      <c r="X25" s="11"/>
    </row>
    <row r="26" spans="2:24" ht="48" customHeight="1">
      <c r="B26" s="8">
        <v>24</v>
      </c>
      <c r="C26" s="8" t="s">
        <v>50</v>
      </c>
      <c r="D26" s="8" t="s">
        <v>234</v>
      </c>
      <c r="E26" s="8" t="s">
        <v>235</v>
      </c>
      <c r="F26" s="8" t="s">
        <v>85</v>
      </c>
      <c r="G26" s="8" t="s">
        <v>86</v>
      </c>
      <c r="H26" s="18" t="s">
        <v>185</v>
      </c>
      <c r="I26" s="8" t="s">
        <v>186</v>
      </c>
      <c r="J26" s="8" t="s">
        <v>230</v>
      </c>
      <c r="K26" s="8" t="s">
        <v>208</v>
      </c>
      <c r="L26" s="8" t="s">
        <v>226</v>
      </c>
      <c r="M26" s="8" t="s">
        <v>231</v>
      </c>
      <c r="N26" s="8">
        <v>25.21</v>
      </c>
      <c r="O26" s="8" t="s">
        <v>181</v>
      </c>
      <c r="P26" s="5" t="s">
        <v>143</v>
      </c>
      <c r="Q26" s="5" t="str">
        <f>IF([1]!Table1464[[#This Row],[Foundation Critical / Foundation Recommended / Advanced Insights]]="Foundation Critical","Mandatory","Optional")</f>
        <v>Optional</v>
      </c>
      <c r="R26" s="5" t="s">
        <v>72</v>
      </c>
      <c r="S26" s="8" t="s">
        <v>93</v>
      </c>
      <c r="T26" s="8" t="s">
        <v>126</v>
      </c>
      <c r="U26" s="8" t="s">
        <v>182</v>
      </c>
      <c r="V26" s="12"/>
      <c r="W26" s="12"/>
      <c r="X26" s="11"/>
    </row>
    <row r="27" spans="2:24" ht="48" customHeight="1">
      <c r="B27" s="8">
        <v>25</v>
      </c>
      <c r="C27" s="8" t="s">
        <v>50</v>
      </c>
      <c r="D27" s="8" t="s">
        <v>236</v>
      </c>
      <c r="E27" s="8" t="s">
        <v>237</v>
      </c>
      <c r="F27" s="8" t="s">
        <v>85</v>
      </c>
      <c r="G27" s="8" t="s">
        <v>86</v>
      </c>
      <c r="H27" s="18" t="s">
        <v>185</v>
      </c>
      <c r="I27" s="8" t="s">
        <v>186</v>
      </c>
      <c r="J27" s="8" t="s">
        <v>238</v>
      </c>
      <c r="K27" s="8" t="s">
        <v>239</v>
      </c>
      <c r="L27" s="8" t="s">
        <v>240</v>
      </c>
      <c r="M27" s="8" t="s">
        <v>241</v>
      </c>
      <c r="N27" s="8" t="s">
        <v>242</v>
      </c>
      <c r="O27" s="8" t="s">
        <v>181</v>
      </c>
      <c r="P27" s="5" t="s">
        <v>143</v>
      </c>
      <c r="Q27" s="5" t="str">
        <f>IF([1]!Table1464[[#This Row],[Foundation Critical / Foundation Recommended / Advanced Insights]]="Foundation Critical","Mandatory","Optional")</f>
        <v>Optional</v>
      </c>
      <c r="R27" s="5" t="s">
        <v>93</v>
      </c>
      <c r="S27" s="8" t="s">
        <v>93</v>
      </c>
      <c r="T27" s="8" t="s">
        <v>126</v>
      </c>
      <c r="U27" s="8" t="s">
        <v>223</v>
      </c>
      <c r="V27" s="12"/>
      <c r="W27" s="12"/>
      <c r="X27" s="11"/>
    </row>
    <row r="28" spans="2:24" ht="48" customHeight="1">
      <c r="B28" s="8">
        <v>26</v>
      </c>
      <c r="C28" s="8" t="s">
        <v>50</v>
      </c>
      <c r="D28" s="8" t="s">
        <v>243</v>
      </c>
      <c r="E28" s="8" t="s">
        <v>244</v>
      </c>
      <c r="F28" s="8" t="s">
        <v>85</v>
      </c>
      <c r="G28" s="8" t="s">
        <v>86</v>
      </c>
      <c r="H28" s="18" t="s">
        <v>185</v>
      </c>
      <c r="I28" s="8" t="s">
        <v>186</v>
      </c>
      <c r="J28" s="8" t="s">
        <v>88</v>
      </c>
      <c r="K28" s="8" t="s">
        <v>89</v>
      </c>
      <c r="L28" s="8" t="s">
        <v>172</v>
      </c>
      <c r="M28" s="8" t="s">
        <v>173</v>
      </c>
      <c r="N28" s="8" t="s">
        <v>165</v>
      </c>
      <c r="O28" s="8"/>
      <c r="P28" s="5"/>
      <c r="Q28" s="5" t="str">
        <f>IF([1]!Table1464[[#This Row],[Foundation Critical / Foundation Recommended / Advanced Insights]]="Foundation Critical","Mandatory","Optional")</f>
        <v>Optional</v>
      </c>
      <c r="R28" s="5" t="s">
        <v>93</v>
      </c>
      <c r="S28" s="8" t="s">
        <v>93</v>
      </c>
      <c r="T28" s="8"/>
      <c r="U28" s="8"/>
      <c r="V28" s="12"/>
      <c r="W28" s="12"/>
      <c r="X28" s="11"/>
    </row>
    <row r="29" spans="2:24" ht="48" customHeight="1">
      <c r="B29" s="8">
        <v>27</v>
      </c>
      <c r="C29" s="8" t="s">
        <v>50</v>
      </c>
      <c r="D29" s="8" t="s">
        <v>245</v>
      </c>
      <c r="E29" s="8" t="s">
        <v>246</v>
      </c>
      <c r="F29" s="8" t="s">
        <v>85</v>
      </c>
      <c r="G29" s="8" t="s">
        <v>86</v>
      </c>
      <c r="H29" s="18" t="s">
        <v>185</v>
      </c>
      <c r="I29" s="8" t="s">
        <v>186</v>
      </c>
      <c r="J29" s="8" t="s">
        <v>247</v>
      </c>
      <c r="K29" s="8" t="s">
        <v>248</v>
      </c>
      <c r="L29" s="8" t="s">
        <v>249</v>
      </c>
      <c r="M29" s="8" t="s">
        <v>250</v>
      </c>
      <c r="N29" s="17">
        <v>45726</v>
      </c>
      <c r="O29" s="8" t="s">
        <v>181</v>
      </c>
      <c r="P29" s="5" t="s">
        <v>251</v>
      </c>
      <c r="Q29" s="5" t="str">
        <f>IF([1]!Table1464[[#This Row],[Foundation Critical / Foundation Recommended / Advanced Insights]]="Foundation Critical","Mandatory","Optional")</f>
        <v>Optional</v>
      </c>
      <c r="R29" s="5" t="s">
        <v>74</v>
      </c>
      <c r="S29" s="8" t="s">
        <v>93</v>
      </c>
      <c r="T29" s="8" t="s">
        <v>126</v>
      </c>
      <c r="U29" s="8" t="s">
        <v>182</v>
      </c>
      <c r="V29" s="12"/>
      <c r="W29" s="12"/>
      <c r="X29" s="11"/>
    </row>
    <row r="30" spans="2:24" ht="48" customHeight="1">
      <c r="B30" s="8">
        <v>28</v>
      </c>
      <c r="C30" s="8" t="s">
        <v>50</v>
      </c>
      <c r="D30" s="13" t="s">
        <v>252</v>
      </c>
      <c r="E30" s="8" t="s">
        <v>253</v>
      </c>
      <c r="F30" s="8" t="s">
        <v>85</v>
      </c>
      <c r="G30" s="8" t="s">
        <v>86</v>
      </c>
      <c r="H30" s="18" t="s">
        <v>185</v>
      </c>
      <c r="I30" s="8" t="s">
        <v>186</v>
      </c>
      <c r="J30" s="8" t="s">
        <v>88</v>
      </c>
      <c r="K30" s="19" t="s">
        <v>254</v>
      </c>
      <c r="L30" s="8" t="s">
        <v>255</v>
      </c>
      <c r="M30" s="8" t="s">
        <v>256</v>
      </c>
      <c r="N30" s="8" t="s">
        <v>183</v>
      </c>
      <c r="O30" s="8" t="s">
        <v>181</v>
      </c>
      <c r="P30" s="5" t="s">
        <v>143</v>
      </c>
      <c r="Q30" s="5" t="str">
        <f>IF([1]!Table1464[[#This Row],[Foundation Critical / Foundation Recommended / Advanced Insights]]="Foundation Critical","Mandatory","Optional")</f>
        <v>Optional</v>
      </c>
      <c r="R30" s="5" t="s">
        <v>74</v>
      </c>
      <c r="S30" s="8" t="s">
        <v>93</v>
      </c>
      <c r="T30" s="8" t="s">
        <v>126</v>
      </c>
      <c r="U30" s="8" t="s">
        <v>182</v>
      </c>
      <c r="V30" s="12"/>
      <c r="W30" s="12"/>
      <c r="X30" s="11"/>
    </row>
    <row r="31" spans="2:24" ht="48" customHeight="1">
      <c r="B31" s="8">
        <v>29</v>
      </c>
      <c r="C31" s="8" t="s">
        <v>50</v>
      </c>
      <c r="D31" s="13" t="s">
        <v>257</v>
      </c>
      <c r="E31" s="8" t="s">
        <v>258</v>
      </c>
      <c r="F31" s="8" t="s">
        <v>85</v>
      </c>
      <c r="G31" s="8" t="s">
        <v>86</v>
      </c>
      <c r="H31" s="18" t="s">
        <v>185</v>
      </c>
      <c r="I31" s="8" t="s">
        <v>186</v>
      </c>
      <c r="J31" s="8" t="s">
        <v>88</v>
      </c>
      <c r="K31" s="8" t="s">
        <v>89</v>
      </c>
      <c r="L31" s="8" t="s">
        <v>178</v>
      </c>
      <c r="M31" s="8" t="s">
        <v>259</v>
      </c>
      <c r="N31" s="8" t="s">
        <v>260</v>
      </c>
      <c r="O31" s="8" t="s">
        <v>181</v>
      </c>
      <c r="P31" s="5" t="s">
        <v>143</v>
      </c>
      <c r="Q31" s="5" t="str">
        <f>IF([1]!Table1464[[#This Row],[Foundation Critical / Foundation Recommended / Advanced Insights]]="Foundation Critical","Mandatory","Optional")</f>
        <v>Optional</v>
      </c>
      <c r="R31" s="5" t="s">
        <v>93</v>
      </c>
      <c r="S31" s="8" t="s">
        <v>93</v>
      </c>
      <c r="T31" s="8" t="s">
        <v>126</v>
      </c>
      <c r="U31" s="8" t="s">
        <v>182</v>
      </c>
      <c r="V31" s="12"/>
      <c r="W31" s="12"/>
      <c r="X31" s="11"/>
    </row>
    <row r="32" spans="2:24" ht="48" customHeight="1">
      <c r="B32" s="8">
        <v>30</v>
      </c>
      <c r="C32" s="8" t="s">
        <v>50</v>
      </c>
      <c r="D32" s="13" t="s">
        <v>261</v>
      </c>
      <c r="E32" s="8" t="s">
        <v>262</v>
      </c>
      <c r="F32" s="8" t="s">
        <v>85</v>
      </c>
      <c r="G32" s="8" t="s">
        <v>86</v>
      </c>
      <c r="H32" s="18" t="s">
        <v>185</v>
      </c>
      <c r="I32" s="8" t="s">
        <v>186</v>
      </c>
      <c r="J32" s="8" t="s">
        <v>263</v>
      </c>
      <c r="K32" s="19" t="s">
        <v>264</v>
      </c>
      <c r="L32" s="8" t="s">
        <v>264</v>
      </c>
      <c r="M32" s="8" t="s">
        <v>265</v>
      </c>
      <c r="N32" s="8">
        <v>20</v>
      </c>
      <c r="O32" s="8" t="s">
        <v>181</v>
      </c>
      <c r="P32" s="5" t="s">
        <v>143</v>
      </c>
      <c r="Q32" s="5" t="str">
        <f>IF([1]!Table1464[[#This Row],[Foundation Critical / Foundation Recommended / Advanced Insights]]="Foundation Critical","Mandatory","Optional")</f>
        <v>Optional</v>
      </c>
      <c r="R32" s="5" t="s">
        <v>93</v>
      </c>
      <c r="S32" s="8" t="s">
        <v>93</v>
      </c>
      <c r="T32" s="8" t="s">
        <v>126</v>
      </c>
      <c r="U32" s="8" t="s">
        <v>182</v>
      </c>
      <c r="V32" s="12"/>
      <c r="W32" s="12"/>
      <c r="X32" s="11"/>
    </row>
    <row r="33" spans="2:24" ht="48" customHeight="1">
      <c r="B33" s="8">
        <v>31</v>
      </c>
      <c r="C33" s="8" t="s">
        <v>50</v>
      </c>
      <c r="D33" s="13" t="s">
        <v>266</v>
      </c>
      <c r="E33" s="8" t="s">
        <v>267</v>
      </c>
      <c r="F33" s="8" t="s">
        <v>85</v>
      </c>
      <c r="G33" s="8" t="s">
        <v>86</v>
      </c>
      <c r="H33" s="18" t="s">
        <v>185</v>
      </c>
      <c r="I33" s="8" t="s">
        <v>186</v>
      </c>
      <c r="J33" s="8" t="s">
        <v>263</v>
      </c>
      <c r="K33" s="8" t="s">
        <v>264</v>
      </c>
      <c r="L33" s="8" t="s">
        <v>264</v>
      </c>
      <c r="M33" s="8" t="s">
        <v>265</v>
      </c>
      <c r="N33" s="8">
        <v>38.92</v>
      </c>
      <c r="O33" s="8" t="s">
        <v>181</v>
      </c>
      <c r="P33" s="5" t="s">
        <v>143</v>
      </c>
      <c r="Q33" s="5" t="str">
        <f>IF([1]!Table1464[[#This Row],[Foundation Critical / Foundation Recommended / Advanced Insights]]="Foundation Critical","Mandatory","Optional")</f>
        <v>Optional</v>
      </c>
      <c r="R33" s="5" t="s">
        <v>93</v>
      </c>
      <c r="S33" s="8" t="s">
        <v>93</v>
      </c>
      <c r="T33" s="8" t="s">
        <v>126</v>
      </c>
      <c r="U33" s="8" t="s">
        <v>182</v>
      </c>
      <c r="V33" s="12"/>
      <c r="W33" s="12"/>
      <c r="X33" s="11"/>
    </row>
    <row r="34" spans="2:24" ht="48" customHeight="1">
      <c r="B34" s="8">
        <v>32</v>
      </c>
      <c r="C34" s="8" t="s">
        <v>50</v>
      </c>
      <c r="D34" s="13" t="s">
        <v>268</v>
      </c>
      <c r="E34" s="8" t="s">
        <v>269</v>
      </c>
      <c r="F34" s="8" t="s">
        <v>85</v>
      </c>
      <c r="G34" s="8" t="s">
        <v>86</v>
      </c>
      <c r="H34" s="18" t="s">
        <v>185</v>
      </c>
      <c r="I34" s="8" t="s">
        <v>186</v>
      </c>
      <c r="J34" s="8" t="s">
        <v>263</v>
      </c>
      <c r="K34" s="8" t="s">
        <v>264</v>
      </c>
      <c r="L34" s="8" t="s">
        <v>264</v>
      </c>
      <c r="M34" s="8" t="s">
        <v>265</v>
      </c>
      <c r="N34" s="8">
        <v>38.92</v>
      </c>
      <c r="O34" s="8" t="s">
        <v>181</v>
      </c>
      <c r="P34" s="5" t="s">
        <v>143</v>
      </c>
      <c r="Q34" s="5" t="str">
        <f>IF([1]!Table1464[[#This Row],[Foundation Critical / Foundation Recommended / Advanced Insights]]="Foundation Critical","Mandatory","Optional")</f>
        <v>Optional</v>
      </c>
      <c r="R34" s="5" t="s">
        <v>93</v>
      </c>
      <c r="S34" s="8" t="s">
        <v>93</v>
      </c>
      <c r="T34" s="8" t="s">
        <v>126</v>
      </c>
      <c r="U34" s="8" t="s">
        <v>182</v>
      </c>
      <c r="V34" s="12"/>
      <c r="W34" s="12"/>
      <c r="X34" s="11"/>
    </row>
    <row r="35" spans="2:24" ht="48" customHeight="1">
      <c r="B35" s="8">
        <v>33</v>
      </c>
      <c r="C35" s="8" t="s">
        <v>50</v>
      </c>
      <c r="D35" s="13" t="s">
        <v>270</v>
      </c>
      <c r="E35" s="8" t="s">
        <v>271</v>
      </c>
      <c r="F35" s="8" t="s">
        <v>85</v>
      </c>
      <c r="G35" s="8" t="s">
        <v>86</v>
      </c>
      <c r="H35" s="18" t="s">
        <v>185</v>
      </c>
      <c r="I35" s="8" t="s">
        <v>186</v>
      </c>
      <c r="J35" s="8" t="s">
        <v>263</v>
      </c>
      <c r="K35" s="8" t="s">
        <v>264</v>
      </c>
      <c r="L35" s="8" t="s">
        <v>264</v>
      </c>
      <c r="M35" s="8" t="s">
        <v>265</v>
      </c>
      <c r="N35" s="8">
        <v>38.92</v>
      </c>
      <c r="O35" s="8" t="s">
        <v>181</v>
      </c>
      <c r="P35" s="5" t="s">
        <v>143</v>
      </c>
      <c r="Q35" s="5" t="str">
        <f>IF([1]!Table1464[[#This Row],[Foundation Critical / Foundation Recommended / Advanced Insights]]="Foundation Critical","Mandatory","Optional")</f>
        <v>Optional</v>
      </c>
      <c r="R35" s="5" t="s">
        <v>93</v>
      </c>
      <c r="S35" s="8" t="s">
        <v>93</v>
      </c>
      <c r="T35" s="8" t="s">
        <v>126</v>
      </c>
      <c r="U35" s="8" t="s">
        <v>182</v>
      </c>
      <c r="V35" s="12"/>
      <c r="W35" s="12"/>
      <c r="X35" s="11"/>
    </row>
    <row r="36" spans="2:24" ht="48" customHeight="1">
      <c r="B36" s="8">
        <v>34</v>
      </c>
      <c r="C36" s="8" t="s">
        <v>50</v>
      </c>
      <c r="D36" s="13" t="s">
        <v>272</v>
      </c>
      <c r="E36" s="8" t="s">
        <v>273</v>
      </c>
      <c r="F36" s="8" t="s">
        <v>85</v>
      </c>
      <c r="G36" s="8" t="s">
        <v>86</v>
      </c>
      <c r="H36" s="18" t="s">
        <v>185</v>
      </c>
      <c r="I36" s="8" t="s">
        <v>186</v>
      </c>
      <c r="J36" s="8" t="s">
        <v>263</v>
      </c>
      <c r="K36" s="8" t="s">
        <v>264</v>
      </c>
      <c r="L36" s="8" t="s">
        <v>264</v>
      </c>
      <c r="M36" s="8" t="s">
        <v>265</v>
      </c>
      <c r="N36" s="8">
        <v>38.92</v>
      </c>
      <c r="O36" s="8" t="s">
        <v>181</v>
      </c>
      <c r="P36" s="5" t="s">
        <v>143</v>
      </c>
      <c r="Q36" s="5" t="str">
        <f>IF([1]!Table1464[[#This Row],[Foundation Critical / Foundation Recommended / Advanced Insights]]="Foundation Critical","Mandatory","Optional")</f>
        <v>Optional</v>
      </c>
      <c r="R36" s="5" t="s">
        <v>93</v>
      </c>
      <c r="S36" s="8" t="s">
        <v>93</v>
      </c>
      <c r="T36" s="8" t="s">
        <v>126</v>
      </c>
      <c r="U36" s="8" t="s">
        <v>182</v>
      </c>
      <c r="V36" s="12"/>
      <c r="W36" s="12"/>
      <c r="X36" s="11"/>
    </row>
    <row r="37" spans="2:24" ht="48" customHeight="1">
      <c r="B37" s="8">
        <v>35</v>
      </c>
      <c r="C37" s="8" t="s">
        <v>50</v>
      </c>
      <c r="D37" s="13" t="s">
        <v>274</v>
      </c>
      <c r="E37" s="8" t="s">
        <v>275</v>
      </c>
      <c r="F37" s="8" t="s">
        <v>85</v>
      </c>
      <c r="G37" s="8" t="s">
        <v>86</v>
      </c>
      <c r="H37" s="18" t="s">
        <v>185</v>
      </c>
      <c r="I37" s="8" t="s">
        <v>186</v>
      </c>
      <c r="J37" s="8" t="s">
        <v>263</v>
      </c>
      <c r="K37" s="8" t="s">
        <v>264</v>
      </c>
      <c r="L37" s="8" t="s">
        <v>264</v>
      </c>
      <c r="M37" s="8" t="s">
        <v>265</v>
      </c>
      <c r="N37" s="8">
        <v>38.92</v>
      </c>
      <c r="O37" s="8" t="s">
        <v>181</v>
      </c>
      <c r="P37" s="5" t="s">
        <v>143</v>
      </c>
      <c r="Q37" s="5" t="str">
        <f>IF([1]!Table1464[[#This Row],[Foundation Critical / Foundation Recommended / Advanced Insights]]="Foundation Critical","Mandatory","Optional")</f>
        <v>Optional</v>
      </c>
      <c r="R37" s="5" t="s">
        <v>93</v>
      </c>
      <c r="S37" s="8" t="s">
        <v>93</v>
      </c>
      <c r="T37" s="8" t="s">
        <v>126</v>
      </c>
      <c r="U37" s="8" t="s">
        <v>182</v>
      </c>
      <c r="V37" s="12"/>
      <c r="W37" s="12"/>
      <c r="X37" s="11"/>
    </row>
    <row r="38" spans="2:24" ht="48" customHeight="1">
      <c r="B38" s="8">
        <v>36</v>
      </c>
      <c r="C38" s="8" t="s">
        <v>50</v>
      </c>
      <c r="D38" s="13" t="s">
        <v>276</v>
      </c>
      <c r="E38" s="8" t="s">
        <v>277</v>
      </c>
      <c r="F38" s="8" t="s">
        <v>85</v>
      </c>
      <c r="G38" s="8" t="s">
        <v>86</v>
      </c>
      <c r="H38" s="18" t="s">
        <v>185</v>
      </c>
      <c r="I38" s="8" t="s">
        <v>186</v>
      </c>
      <c r="J38" s="8" t="s">
        <v>88</v>
      </c>
      <c r="K38" s="8" t="s">
        <v>278</v>
      </c>
      <c r="L38" s="8" t="s">
        <v>279</v>
      </c>
      <c r="M38" s="8" t="s">
        <v>280</v>
      </c>
      <c r="N38" s="8" t="s">
        <v>165</v>
      </c>
      <c r="O38" s="8" t="s">
        <v>181</v>
      </c>
      <c r="P38" s="5" t="s">
        <v>143</v>
      </c>
      <c r="Q38" s="5" t="str">
        <f>IF([1]!Table1464[[#This Row],[Foundation Critical / Foundation Recommended / Advanced Insights]]="Foundation Critical","Mandatory","Optional")</f>
        <v>Optional</v>
      </c>
      <c r="R38" s="5" t="s">
        <v>93</v>
      </c>
      <c r="S38" s="8" t="s">
        <v>93</v>
      </c>
      <c r="T38" s="8" t="s">
        <v>126</v>
      </c>
      <c r="U38" s="8" t="s">
        <v>182</v>
      </c>
      <c r="V38" s="12"/>
      <c r="W38" s="12"/>
      <c r="X38" s="11"/>
    </row>
    <row r="39" spans="2:24" ht="48" customHeight="1">
      <c r="B39" s="8">
        <v>37</v>
      </c>
      <c r="C39" s="8" t="s">
        <v>50</v>
      </c>
      <c r="D39" s="8" t="s">
        <v>281</v>
      </c>
      <c r="E39" s="8" t="s">
        <v>282</v>
      </c>
      <c r="F39" s="8" t="s">
        <v>85</v>
      </c>
      <c r="G39" s="8" t="s">
        <v>86</v>
      </c>
      <c r="H39" s="18" t="s">
        <v>185</v>
      </c>
      <c r="I39" s="8" t="s">
        <v>186</v>
      </c>
      <c r="J39" s="8" t="s">
        <v>263</v>
      </c>
      <c r="K39" s="8" t="s">
        <v>264</v>
      </c>
      <c r="L39" s="8" t="s">
        <v>264</v>
      </c>
      <c r="M39" s="8" t="s">
        <v>265</v>
      </c>
      <c r="N39" s="8">
        <v>38.92</v>
      </c>
      <c r="O39" s="8"/>
      <c r="P39" s="5"/>
      <c r="Q39" s="5" t="str">
        <f>IF([1]!Table1464[[#This Row],[Foundation Critical / Foundation Recommended / Advanced Insights]]="Foundation Critical","Mandatory","Optional")</f>
        <v>Optional</v>
      </c>
      <c r="R39" s="5" t="s">
        <v>93</v>
      </c>
      <c r="S39" s="8" t="s">
        <v>93</v>
      </c>
      <c r="T39" s="8"/>
      <c r="U39" s="8"/>
      <c r="V39" s="12"/>
      <c r="W39" s="12"/>
      <c r="X39" s="11"/>
    </row>
    <row r="40" spans="2:24" ht="48" customHeight="1">
      <c r="B40" s="8">
        <v>38</v>
      </c>
      <c r="C40" s="8" t="s">
        <v>50</v>
      </c>
      <c r="D40" s="8" t="s">
        <v>283</v>
      </c>
      <c r="E40" s="8" t="s">
        <v>284</v>
      </c>
      <c r="F40" s="8" t="s">
        <v>85</v>
      </c>
      <c r="G40" s="8" t="s">
        <v>86</v>
      </c>
      <c r="H40" s="18" t="s">
        <v>185</v>
      </c>
      <c r="I40" s="8" t="s">
        <v>186</v>
      </c>
      <c r="J40" s="8" t="s">
        <v>263</v>
      </c>
      <c r="K40" s="8" t="s">
        <v>264</v>
      </c>
      <c r="L40" s="8" t="s">
        <v>264</v>
      </c>
      <c r="M40" s="8" t="s">
        <v>265</v>
      </c>
      <c r="N40" s="8">
        <v>38.92</v>
      </c>
      <c r="O40" s="8"/>
      <c r="P40" s="5"/>
      <c r="Q40" s="5" t="str">
        <f>IF([1]!Table1464[[#This Row],[Foundation Critical / Foundation Recommended / Advanced Insights]]="Foundation Critical","Mandatory","Optional")</f>
        <v>Optional</v>
      </c>
      <c r="R40" s="5" t="s">
        <v>93</v>
      </c>
      <c r="S40" s="8" t="s">
        <v>93</v>
      </c>
      <c r="T40" s="8"/>
      <c r="U40" s="8"/>
      <c r="V40" s="12"/>
      <c r="W40" s="12"/>
      <c r="X40" s="11"/>
    </row>
    <row r="41" spans="2:24" ht="48" customHeight="1">
      <c r="B41" s="8">
        <v>39</v>
      </c>
      <c r="C41" s="8" t="s">
        <v>50</v>
      </c>
      <c r="D41" s="8" t="s">
        <v>285</v>
      </c>
      <c r="E41" s="8" t="s">
        <v>286</v>
      </c>
      <c r="F41" s="8" t="s">
        <v>85</v>
      </c>
      <c r="G41" s="8" t="s">
        <v>86</v>
      </c>
      <c r="H41" s="18" t="s">
        <v>185</v>
      </c>
      <c r="I41" s="8" t="s">
        <v>186</v>
      </c>
      <c r="J41" s="8" t="s">
        <v>263</v>
      </c>
      <c r="K41" s="8" t="s">
        <v>264</v>
      </c>
      <c r="L41" s="8" t="s">
        <v>264</v>
      </c>
      <c r="M41" s="8" t="s">
        <v>265</v>
      </c>
      <c r="N41" s="8">
        <v>38.92</v>
      </c>
      <c r="O41" s="8"/>
      <c r="P41" s="5"/>
      <c r="Q41" s="5" t="str">
        <f>IF([1]!Table1464[[#This Row],[Foundation Critical / Foundation Recommended / Advanced Insights]]="Foundation Critical","Mandatory","Optional")</f>
        <v>Optional</v>
      </c>
      <c r="R41" s="5" t="s">
        <v>93</v>
      </c>
      <c r="S41" s="8" t="s">
        <v>93</v>
      </c>
      <c r="T41" s="8"/>
      <c r="U41" s="8"/>
      <c r="V41" s="12"/>
      <c r="W41" s="12"/>
      <c r="X41" s="11"/>
    </row>
    <row r="42" spans="2:24" ht="48" customHeight="1">
      <c r="B42" s="8">
        <v>40</v>
      </c>
      <c r="C42" s="8" t="s">
        <v>50</v>
      </c>
      <c r="D42" s="13" t="s">
        <v>287</v>
      </c>
      <c r="E42" s="8" t="s">
        <v>288</v>
      </c>
      <c r="F42" s="8" t="s">
        <v>85</v>
      </c>
      <c r="G42" s="8" t="s">
        <v>86</v>
      </c>
      <c r="H42" s="18" t="s">
        <v>185</v>
      </c>
      <c r="I42" s="8" t="s">
        <v>186</v>
      </c>
      <c r="J42" s="8" t="s">
        <v>213</v>
      </c>
      <c r="K42" s="8" t="s">
        <v>208</v>
      </c>
      <c r="L42" s="8" t="s">
        <v>226</v>
      </c>
      <c r="M42" s="5" t="s">
        <v>227</v>
      </c>
      <c r="N42" s="5">
        <v>25.21</v>
      </c>
      <c r="O42" s="8" t="s">
        <v>181</v>
      </c>
      <c r="P42" s="8" t="s">
        <v>143</v>
      </c>
      <c r="Q42" s="5" t="str">
        <f>IF([1]!Table1464[[#This Row],[Foundation Critical / Foundation Recommended / Advanced Insights]]="Foundation Critical","Mandatory","Optional")</f>
        <v>Optional</v>
      </c>
      <c r="R42" s="5" t="s">
        <v>93</v>
      </c>
      <c r="S42" s="8" t="s">
        <v>93</v>
      </c>
      <c r="T42" s="8" t="s">
        <v>126</v>
      </c>
      <c r="U42" s="8" t="s">
        <v>182</v>
      </c>
      <c r="V42" s="12"/>
      <c r="W42" s="12"/>
      <c r="X42" s="11"/>
    </row>
    <row r="43" spans="2:24" ht="48" customHeight="1">
      <c r="B43" s="8">
        <v>41</v>
      </c>
      <c r="C43" s="8" t="s">
        <v>50</v>
      </c>
      <c r="D43" s="13" t="s">
        <v>174</v>
      </c>
      <c r="E43" s="8" t="s">
        <v>289</v>
      </c>
      <c r="F43" s="8" t="s">
        <v>85</v>
      </c>
      <c r="G43" s="8" t="s">
        <v>86</v>
      </c>
      <c r="H43" s="18" t="s">
        <v>185</v>
      </c>
      <c r="I43" s="8" t="s">
        <v>186</v>
      </c>
      <c r="J43" s="8" t="s">
        <v>88</v>
      </c>
      <c r="K43" s="15" t="s">
        <v>290</v>
      </c>
      <c r="L43" s="8" t="s">
        <v>178</v>
      </c>
      <c r="M43" s="8" t="s">
        <v>291</v>
      </c>
      <c r="N43" s="8" t="s">
        <v>165</v>
      </c>
      <c r="O43" s="8" t="s">
        <v>181</v>
      </c>
      <c r="P43" s="8" t="s">
        <v>143</v>
      </c>
      <c r="Q43" s="5" t="str">
        <f>IF([1]!Table1464[[#This Row],[Foundation Critical / Foundation Recommended / Advanced Insights]]="Foundation Critical","Mandatory","Optional")</f>
        <v>Optional</v>
      </c>
      <c r="R43" s="5" t="s">
        <v>93</v>
      </c>
      <c r="S43" s="8" t="s">
        <v>93</v>
      </c>
      <c r="T43" s="8" t="s">
        <v>126</v>
      </c>
      <c r="U43" s="8" t="s">
        <v>182</v>
      </c>
      <c r="V43" s="12"/>
      <c r="W43" s="12"/>
      <c r="X43" s="11"/>
    </row>
    <row r="44" spans="2:24" ht="48" customHeight="1">
      <c r="B44" s="8">
        <v>42</v>
      </c>
      <c r="C44" s="8" t="s">
        <v>50</v>
      </c>
      <c r="D44" s="13" t="s">
        <v>292</v>
      </c>
      <c r="E44" s="8" t="s">
        <v>293</v>
      </c>
      <c r="F44" s="8" t="s">
        <v>85</v>
      </c>
      <c r="G44" s="8" t="s">
        <v>86</v>
      </c>
      <c r="H44" s="18" t="s">
        <v>185</v>
      </c>
      <c r="I44" s="8" t="s">
        <v>186</v>
      </c>
      <c r="J44" s="8" t="s">
        <v>238</v>
      </c>
      <c r="K44" s="8" t="s">
        <v>239</v>
      </c>
      <c r="L44" s="8" t="s">
        <v>240</v>
      </c>
      <c r="M44" s="8" t="s">
        <v>241</v>
      </c>
      <c r="N44" s="8" t="s">
        <v>242</v>
      </c>
      <c r="O44" s="8" t="s">
        <v>181</v>
      </c>
      <c r="P44" s="8" t="s">
        <v>143</v>
      </c>
      <c r="Q44" s="5" t="str">
        <f>IF([1]!Table1464[[#This Row],[Foundation Critical / Foundation Recommended / Advanced Insights]]="Foundation Critical","Mandatory","Optional")</f>
        <v>Optional</v>
      </c>
      <c r="R44" s="5" t="s">
        <v>93</v>
      </c>
      <c r="S44" s="8" t="s">
        <v>93</v>
      </c>
      <c r="T44" s="8" t="s">
        <v>126</v>
      </c>
      <c r="U44" s="8" t="s">
        <v>182</v>
      </c>
      <c r="V44" s="12"/>
      <c r="W44" s="12"/>
      <c r="X44" s="11"/>
    </row>
    <row r="45" spans="2:24" ht="48" customHeight="1">
      <c r="B45" s="8">
        <v>43</v>
      </c>
      <c r="C45" s="8" t="s">
        <v>50</v>
      </c>
      <c r="D45" s="8" t="s">
        <v>294</v>
      </c>
      <c r="E45" s="8" t="s">
        <v>295</v>
      </c>
      <c r="F45" s="8" t="s">
        <v>85</v>
      </c>
      <c r="G45" s="8" t="s">
        <v>86</v>
      </c>
      <c r="H45" s="18" t="s">
        <v>185</v>
      </c>
      <c r="I45" s="8" t="s">
        <v>186</v>
      </c>
      <c r="J45" s="8" t="s">
        <v>247</v>
      </c>
      <c r="K45" s="8" t="s">
        <v>248</v>
      </c>
      <c r="L45" s="8" t="s">
        <v>249</v>
      </c>
      <c r="M45" s="8" t="s">
        <v>250</v>
      </c>
      <c r="N45" s="17">
        <v>45726</v>
      </c>
      <c r="O45" s="8" t="s">
        <v>181</v>
      </c>
      <c r="P45" s="8" t="s">
        <v>251</v>
      </c>
      <c r="Q45" s="5" t="str">
        <f>IF([1]!Table1464[[#This Row],[Foundation Critical / Foundation Recommended / Advanced Insights]]="Foundation Critical","Mandatory","Optional")</f>
        <v>Optional</v>
      </c>
      <c r="R45" s="5" t="s">
        <v>74</v>
      </c>
      <c r="S45" s="8" t="s">
        <v>93</v>
      </c>
      <c r="T45" s="8" t="s">
        <v>126</v>
      </c>
      <c r="U45" s="8" t="s">
        <v>182</v>
      </c>
      <c r="V45" s="12"/>
      <c r="W45" s="12"/>
      <c r="X45" s="11"/>
    </row>
    <row r="46" spans="2:24" ht="48" customHeight="1">
      <c r="B46" s="8">
        <v>44</v>
      </c>
      <c r="C46" s="8" t="s">
        <v>50</v>
      </c>
      <c r="D46" s="8" t="s">
        <v>296</v>
      </c>
      <c r="E46" s="8" t="s">
        <v>297</v>
      </c>
      <c r="F46" s="8" t="s">
        <v>85</v>
      </c>
      <c r="G46" s="8" t="s">
        <v>86</v>
      </c>
      <c r="H46" s="18" t="s">
        <v>185</v>
      </c>
      <c r="I46" s="8" t="s">
        <v>186</v>
      </c>
      <c r="J46" s="8" t="s">
        <v>247</v>
      </c>
      <c r="K46" s="8" t="s">
        <v>248</v>
      </c>
      <c r="L46" s="8" t="s">
        <v>249</v>
      </c>
      <c r="M46" s="8" t="s">
        <v>250</v>
      </c>
      <c r="N46" s="17">
        <v>45726</v>
      </c>
      <c r="O46" s="8" t="s">
        <v>181</v>
      </c>
      <c r="P46" s="8" t="s">
        <v>251</v>
      </c>
      <c r="Q46" s="5" t="str">
        <f>IF([1]!Table1464[[#This Row],[Foundation Critical / Foundation Recommended / Advanced Insights]]="Foundation Critical","Mandatory","Optional")</f>
        <v>Optional</v>
      </c>
      <c r="R46" s="5" t="s">
        <v>74</v>
      </c>
      <c r="S46" s="8" t="s">
        <v>93</v>
      </c>
      <c r="T46" s="8" t="s">
        <v>126</v>
      </c>
      <c r="U46" s="8" t="s">
        <v>182</v>
      </c>
      <c r="V46" s="12"/>
      <c r="W46" s="12"/>
      <c r="X46" s="11"/>
    </row>
    <row r="47" spans="2:24" ht="48" customHeight="1">
      <c r="B47" s="8">
        <v>45</v>
      </c>
      <c r="C47" s="8" t="s">
        <v>50</v>
      </c>
      <c r="D47" s="8" t="s">
        <v>298</v>
      </c>
      <c r="E47" s="8" t="s">
        <v>299</v>
      </c>
      <c r="F47" s="8" t="s">
        <v>85</v>
      </c>
      <c r="G47" s="8" t="s">
        <v>86</v>
      </c>
      <c r="H47" s="18" t="s">
        <v>185</v>
      </c>
      <c r="I47" s="8" t="s">
        <v>186</v>
      </c>
      <c r="J47" s="8" t="s">
        <v>247</v>
      </c>
      <c r="K47" s="8" t="s">
        <v>248</v>
      </c>
      <c r="L47" s="8" t="s">
        <v>249</v>
      </c>
      <c r="M47" s="8" t="s">
        <v>250</v>
      </c>
      <c r="N47" s="17">
        <v>45726</v>
      </c>
      <c r="O47" s="8" t="s">
        <v>181</v>
      </c>
      <c r="P47" s="8" t="s">
        <v>251</v>
      </c>
      <c r="Q47" s="5" t="str">
        <f>IF([1]!Table1464[[#This Row],[Foundation Critical / Foundation Recommended / Advanced Insights]]="Foundation Critical","Mandatory","Optional")</f>
        <v>Optional</v>
      </c>
      <c r="R47" s="5" t="s">
        <v>74</v>
      </c>
      <c r="S47" s="8" t="s">
        <v>93</v>
      </c>
      <c r="T47" s="8" t="s">
        <v>126</v>
      </c>
      <c r="U47" s="8" t="s">
        <v>182</v>
      </c>
      <c r="V47" s="12"/>
      <c r="W47" s="12"/>
      <c r="X47" s="11"/>
    </row>
    <row r="48" spans="2:24" ht="48" customHeight="1">
      <c r="B48" s="8">
        <v>46</v>
      </c>
      <c r="C48" s="8" t="s">
        <v>37</v>
      </c>
      <c r="D48" s="8" t="s">
        <v>300</v>
      </c>
      <c r="E48" s="8" t="s">
        <v>301</v>
      </c>
      <c r="F48" s="8" t="s">
        <v>302</v>
      </c>
      <c r="G48" s="8" t="s">
        <v>118</v>
      </c>
      <c r="H48" s="18" t="s">
        <v>185</v>
      </c>
      <c r="I48" s="8" t="s">
        <v>186</v>
      </c>
      <c r="J48" s="8" t="s">
        <v>303</v>
      </c>
      <c r="K48" s="8" t="s">
        <v>154</v>
      </c>
      <c r="L48" s="8" t="s">
        <v>304</v>
      </c>
      <c r="M48" s="8" t="s">
        <v>305</v>
      </c>
      <c r="N48" s="8" t="s">
        <v>306</v>
      </c>
      <c r="O48" s="8" t="s">
        <v>125</v>
      </c>
      <c r="P48" s="8" t="s">
        <v>103</v>
      </c>
      <c r="Q48" s="5" t="str">
        <f>IF([1]!Table1464[[#This Row],[Foundation Critical / Foundation Recommended / Advanced Insights]]="Foundation Critical","Mandatory","Optional")</f>
        <v>Optional</v>
      </c>
      <c r="R48" s="5" t="s">
        <v>93</v>
      </c>
      <c r="S48" s="8" t="s">
        <v>93</v>
      </c>
      <c r="T48" s="8" t="s">
        <v>126</v>
      </c>
      <c r="U48" s="8" t="s">
        <v>127</v>
      </c>
      <c r="V48" s="12"/>
      <c r="W48" s="12"/>
      <c r="X48" s="11"/>
    </row>
    <row r="49" spans="2:24" ht="48" customHeight="1">
      <c r="B49" s="8">
        <v>47</v>
      </c>
      <c r="C49" s="8" t="s">
        <v>48</v>
      </c>
      <c r="D49" s="8" t="s">
        <v>307</v>
      </c>
      <c r="E49" s="8" t="s">
        <v>308</v>
      </c>
      <c r="F49" s="8" t="s">
        <v>85</v>
      </c>
      <c r="G49" s="8" t="s">
        <v>86</v>
      </c>
      <c r="H49" s="18" t="s">
        <v>185</v>
      </c>
      <c r="I49" s="8" t="s">
        <v>186</v>
      </c>
      <c r="J49" s="8" t="s">
        <v>88</v>
      </c>
      <c r="K49" s="8" t="s">
        <v>309</v>
      </c>
      <c r="L49" s="8" t="s">
        <v>310</v>
      </c>
      <c r="M49" s="8" t="s">
        <v>311</v>
      </c>
      <c r="N49" s="8" t="s">
        <v>165</v>
      </c>
      <c r="O49" s="8" t="s">
        <v>181</v>
      </c>
      <c r="P49" s="8" t="s">
        <v>143</v>
      </c>
      <c r="Q49" s="5" t="str">
        <f>IF([1]!Table1464[[#This Row],[Foundation Critical / Foundation Recommended / Advanced Insights]]="Foundation Critical","Mandatory","Optional")</f>
        <v>Optional</v>
      </c>
      <c r="R49" s="5" t="s">
        <v>93</v>
      </c>
      <c r="S49" s="8" t="s">
        <v>93</v>
      </c>
      <c r="T49" s="8" t="s">
        <v>126</v>
      </c>
      <c r="U49" s="8" t="s">
        <v>312</v>
      </c>
      <c r="V49" s="12"/>
      <c r="W49" s="12"/>
      <c r="X49" s="11"/>
    </row>
    <row r="50" spans="2:24" ht="48" customHeight="1">
      <c r="B50" s="8">
        <v>48</v>
      </c>
      <c r="C50" s="8" t="s">
        <v>48</v>
      </c>
      <c r="D50" s="8" t="s">
        <v>313</v>
      </c>
      <c r="E50" s="8" t="s">
        <v>314</v>
      </c>
      <c r="F50" s="8" t="s">
        <v>85</v>
      </c>
      <c r="G50" s="8" t="s">
        <v>86</v>
      </c>
      <c r="H50" s="18" t="s">
        <v>185</v>
      </c>
      <c r="I50" s="8" t="s">
        <v>186</v>
      </c>
      <c r="J50" s="8" t="s">
        <v>238</v>
      </c>
      <c r="K50" s="8" t="s">
        <v>239</v>
      </c>
      <c r="L50" s="8" t="s">
        <v>240</v>
      </c>
      <c r="M50" s="8" t="s">
        <v>241</v>
      </c>
      <c r="N50" s="8" t="s">
        <v>242</v>
      </c>
      <c r="O50" s="8" t="s">
        <v>181</v>
      </c>
      <c r="P50" s="8" t="s">
        <v>143</v>
      </c>
      <c r="Q50" s="5" t="str">
        <f>IF([1]!Table1464[[#This Row],[Foundation Critical / Foundation Recommended / Advanced Insights]]="Foundation Critical","Mandatory","Optional")</f>
        <v>Optional</v>
      </c>
      <c r="R50" s="5" t="s">
        <v>93</v>
      </c>
      <c r="S50" s="8" t="s">
        <v>93</v>
      </c>
      <c r="T50" s="8" t="s">
        <v>126</v>
      </c>
      <c r="U50" s="8" t="s">
        <v>312</v>
      </c>
      <c r="V50" s="12"/>
      <c r="W50" s="12"/>
      <c r="X50" s="11"/>
    </row>
    <row r="51" spans="2:24" ht="48" customHeight="1">
      <c r="B51" s="8">
        <v>49</v>
      </c>
      <c r="C51" s="8" t="s">
        <v>48</v>
      </c>
      <c r="D51" s="8" t="s">
        <v>315</v>
      </c>
      <c r="E51" s="8" t="s">
        <v>316</v>
      </c>
      <c r="F51" s="8" t="s">
        <v>85</v>
      </c>
      <c r="G51" s="8" t="s">
        <v>86</v>
      </c>
      <c r="H51" s="18" t="s">
        <v>185</v>
      </c>
      <c r="I51" s="8" t="s">
        <v>186</v>
      </c>
      <c r="J51" s="8" t="s">
        <v>238</v>
      </c>
      <c r="K51" s="8" t="s">
        <v>239</v>
      </c>
      <c r="L51" s="8" t="s">
        <v>240</v>
      </c>
      <c r="M51" s="8" t="s">
        <v>241</v>
      </c>
      <c r="N51" s="8" t="s">
        <v>242</v>
      </c>
      <c r="O51" s="8" t="s">
        <v>181</v>
      </c>
      <c r="P51" s="8" t="s">
        <v>143</v>
      </c>
      <c r="Q51" s="5" t="str">
        <f>IF([1]!Table1464[[#This Row],[Foundation Critical / Foundation Recommended / Advanced Insights]]="Foundation Critical","Mandatory","Optional")</f>
        <v>Optional</v>
      </c>
      <c r="R51" s="5" t="s">
        <v>93</v>
      </c>
      <c r="S51" s="8" t="s">
        <v>93</v>
      </c>
      <c r="T51" s="8" t="s">
        <v>126</v>
      </c>
      <c r="U51" s="8" t="s">
        <v>312</v>
      </c>
      <c r="V51" s="12"/>
      <c r="W51" s="12"/>
      <c r="X51" s="11"/>
    </row>
    <row r="52" spans="2:24" ht="48" customHeight="1">
      <c r="B52" s="8">
        <v>50</v>
      </c>
      <c r="C52" s="8" t="s">
        <v>58</v>
      </c>
      <c r="D52" s="8" t="s">
        <v>317</v>
      </c>
      <c r="E52" s="8" t="s">
        <v>318</v>
      </c>
      <c r="F52" s="8" t="s">
        <v>85</v>
      </c>
      <c r="G52" s="8" t="s">
        <v>86</v>
      </c>
      <c r="H52" s="18" t="s">
        <v>185</v>
      </c>
      <c r="I52" s="8" t="s">
        <v>186</v>
      </c>
      <c r="J52" s="8" t="s">
        <v>88</v>
      </c>
      <c r="K52" s="8" t="s">
        <v>154</v>
      </c>
      <c r="L52" s="8" t="s">
        <v>319</v>
      </c>
      <c r="M52" s="8" t="s">
        <v>320</v>
      </c>
      <c r="N52" s="8" t="s">
        <v>165</v>
      </c>
      <c r="O52" s="8" t="s">
        <v>166</v>
      </c>
      <c r="P52" s="8" t="s">
        <v>167</v>
      </c>
      <c r="Q52" s="5" t="str">
        <f>IF([1]!Table1464[[#This Row],[Foundation Critical / Foundation Recommended / Advanced Insights]]="Foundation Critical","Mandatory","Optional")</f>
        <v>Optional</v>
      </c>
      <c r="R52" s="5" t="s">
        <v>93</v>
      </c>
      <c r="S52" s="8" t="s">
        <v>93</v>
      </c>
      <c r="T52" s="8" t="s">
        <v>168</v>
      </c>
      <c r="U52" s="8" t="s">
        <v>169</v>
      </c>
      <c r="V52" s="12"/>
      <c r="W52" s="12"/>
      <c r="X52" s="11"/>
    </row>
    <row r="53" spans="2:24" ht="48" customHeight="1">
      <c r="B53" s="8">
        <v>51</v>
      </c>
      <c r="C53" s="8" t="s">
        <v>58</v>
      </c>
      <c r="D53" s="8" t="s">
        <v>321</v>
      </c>
      <c r="E53" s="8" t="s">
        <v>322</v>
      </c>
      <c r="F53" s="8" t="s">
        <v>85</v>
      </c>
      <c r="G53" s="8" t="s">
        <v>86</v>
      </c>
      <c r="H53" s="18" t="s">
        <v>185</v>
      </c>
      <c r="I53" s="8" t="s">
        <v>186</v>
      </c>
      <c r="J53" s="8" t="s">
        <v>323</v>
      </c>
      <c r="K53" s="8" t="s">
        <v>208</v>
      </c>
      <c r="L53" s="8" t="s">
        <v>209</v>
      </c>
      <c r="M53" s="8" t="s">
        <v>324</v>
      </c>
      <c r="N53" s="8">
        <v>25.21</v>
      </c>
      <c r="O53" s="8" t="s">
        <v>166</v>
      </c>
      <c r="P53" s="8" t="s">
        <v>167</v>
      </c>
      <c r="Q53" s="5" t="str">
        <f>IF([1]!Table1464[[#This Row],[Foundation Critical / Foundation Recommended / Advanced Insights]]="Foundation Critical","Mandatory","Optional")</f>
        <v>Optional</v>
      </c>
      <c r="R53" s="5" t="s">
        <v>93</v>
      </c>
      <c r="S53" s="8" t="s">
        <v>93</v>
      </c>
      <c r="T53" s="8" t="s">
        <v>168</v>
      </c>
      <c r="U53" s="8" t="s">
        <v>169</v>
      </c>
      <c r="V53" s="12"/>
      <c r="W53" s="12"/>
      <c r="X53" s="11"/>
    </row>
    <row r="54" spans="2:24" ht="48" customHeight="1">
      <c r="X54" s="11"/>
    </row>
    <row r="55" spans="2:24" ht="48" customHeight="1">
      <c r="X55" s="11"/>
    </row>
    <row r="56" spans="2:24" ht="48" customHeight="1">
      <c r="X56" s="11"/>
    </row>
    <row r="57" spans="2:24" ht="48" customHeight="1">
      <c r="X57" s="11"/>
    </row>
    <row r="58" spans="2:24" ht="48" customHeight="1">
      <c r="X58" s="11"/>
    </row>
    <row r="59" spans="2:24" ht="48" customHeight="1">
      <c r="X59" s="11"/>
    </row>
    <row r="60" spans="2:24" ht="48" customHeight="1">
      <c r="X60" s="11"/>
    </row>
    <row r="61" spans="2:24" ht="48" customHeight="1">
      <c r="X61" s="11"/>
    </row>
    <row r="62" spans="2:24" ht="48" customHeight="1">
      <c r="X62" s="11"/>
    </row>
    <row r="63" spans="2:24" ht="48" customHeight="1">
      <c r="X63" s="11"/>
    </row>
    <row r="64" spans="2:24" ht="48" customHeight="1">
      <c r="X64" s="11"/>
    </row>
    <row r="65" spans="24:24" ht="48" customHeight="1">
      <c r="X65" s="11"/>
    </row>
  </sheetData>
  <conditionalFormatting sqref="Q1 T1:U1 R1:S2 R54:S1048576">
    <cfRule type="cellIs" dxfId="32" priority="4" operator="equal">
      <formula>"N/A"</formula>
    </cfRule>
  </conditionalFormatting>
  <conditionalFormatting sqref="T1:U1 Q1:S2 Q54:S1048576">
    <cfRule type="cellIs" dxfId="31" priority="5" operator="equal">
      <formula>"Optional"</formula>
    </cfRule>
    <cfRule type="cellIs" dxfId="30" priority="6" operator="equal">
      <formula>"Mandatory"</formula>
    </cfRule>
  </conditionalFormatting>
  <conditionalFormatting sqref="Q42:Q53 R3:S53">
    <cfRule type="cellIs" dxfId="29" priority="1" operator="equal">
      <formula>"N/A"</formula>
    </cfRule>
  </conditionalFormatting>
  <conditionalFormatting sqref="Q3:S53">
    <cfRule type="cellIs" dxfId="28" priority="2" operator="equal">
      <formula>"Optional"</formula>
    </cfRule>
    <cfRule type="cellIs" dxfId="27" priority="3" operator="equal">
      <formula>"Mandatory"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6b8f855-7266-4132-a4df-02f18cf6e3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D67DF60516ED48A614821C930292BD" ma:contentTypeVersion="9" ma:contentTypeDescription="Create a new document." ma:contentTypeScope="" ma:versionID="99d519d45b8ad51a4f11689e41c42424">
  <xsd:schema xmlns:xsd="http://www.w3.org/2001/XMLSchema" xmlns:xs="http://www.w3.org/2001/XMLSchema" xmlns:p="http://schemas.microsoft.com/office/2006/metadata/properties" xmlns:ns3="e6b8f855-7266-4132-a4df-02f18cf6e312" targetNamespace="http://schemas.microsoft.com/office/2006/metadata/properties" ma:root="true" ma:fieldsID="2b428c51e4aa40d1d341f388dc4ce6c9" ns3:_="">
    <xsd:import namespace="e6b8f855-7266-4132-a4df-02f18cf6e31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b8f855-7266-4132-a4df-02f18cf6e31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7AF021-EB45-451A-A977-42348384C9DE}"/>
</file>

<file path=customXml/itemProps2.xml><?xml version="1.0" encoding="utf-8"?>
<ds:datastoreItem xmlns:ds="http://schemas.openxmlformats.org/officeDocument/2006/customXml" ds:itemID="{43CE6C68-8D1E-497F-87EF-BF103098ABD0}"/>
</file>

<file path=customXml/itemProps3.xml><?xml version="1.0" encoding="utf-8"?>
<ds:datastoreItem xmlns:ds="http://schemas.openxmlformats.org/officeDocument/2006/customXml" ds:itemID="{55AA59CC-AEC8-4F84-B58F-6B003B19DAB4}"/>
</file>

<file path=docMetadata/LabelInfo.xml><?xml version="1.0" encoding="utf-8"?>
<clbl:labelList xmlns:clbl="http://schemas.microsoft.com/office/2020/mipLabelMetadata">
  <clbl:label id="{42cc3295-cd0e-449c-b98e-5ce5b560c1d3}" enabled="0" method="" siteId="{42cc3295-cd0e-449c-b98e-5ce5b560c1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Dalmia, Rahul - Contractor {PEP}</dc:creator>
  <cp:keywords/>
  <dc:description/>
  <cp:lastModifiedBy>Ratan, Vishal {PI}</cp:lastModifiedBy>
  <cp:revision/>
  <dcterms:created xsi:type="dcterms:W3CDTF">2026-06-04T02:02:50Z</dcterms:created>
  <dcterms:modified xsi:type="dcterms:W3CDTF">2026-06-04T10:58:22Z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0x01010064D67DF60516ED48A614821C930292BD</vt:lpwstr>
  </property>
</Properties>
</file>